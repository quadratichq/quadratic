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fig/Downloads/"/>
    </mc:Choice>
  </mc:AlternateContent>
  <xr:revisionPtr revIDLastSave="0" documentId="8_{8ADB23EC-9198-9B43-9824-3076051C1B09}" xr6:coauthVersionLast="47" xr6:coauthVersionMax="47" xr10:uidLastSave="{00000000-0000-0000-0000-000000000000}"/>
  <bookViews>
    <workbookView xWindow="740" yWindow="600" windowWidth="16100" windowHeight="9660" xr2:uid="{00000000-000D-0000-FFFF-FFFF00000000}"/>
  </bookViews>
  <sheets>
    <sheet name="Summary" sheetId="1" r:id="rId1"/>
    <sheet name="Formula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3" i="2" l="1" a="1"/>
  <c r="C523" i="2" s="1"/>
  <c r="E523" i="2" s="1" a="1"/>
  <c r="E523" i="2" s="1"/>
  <c r="C522" i="2" a="1"/>
  <c r="C522" i="2" s="1"/>
  <c r="E522" i="2" s="1" a="1"/>
  <c r="E522" i="2" s="1"/>
  <c r="C521" i="2" a="1"/>
  <c r="C521" i="2" s="1"/>
  <c r="E521" i="2" s="1" a="1"/>
  <c r="E521" i="2" s="1"/>
  <c r="C520" i="2" a="1"/>
  <c r="C520" i="2" s="1"/>
  <c r="E520" i="2" s="1" a="1"/>
  <c r="E520" i="2" s="1"/>
  <c r="C519" i="2" a="1"/>
  <c r="C519" i="2" s="1"/>
  <c r="E519" i="2" s="1" a="1"/>
  <c r="E519" i="2" s="1"/>
  <c r="C518" i="2" a="1"/>
  <c r="C518" i="2" s="1"/>
  <c r="E518" i="2" s="1" a="1"/>
  <c r="E518" i="2" s="1"/>
  <c r="C517" i="2" a="1"/>
  <c r="C517" i="2" s="1"/>
  <c r="E517" i="2" s="1" a="1"/>
  <c r="E517" i="2" s="1"/>
  <c r="C516" i="2" a="1"/>
  <c r="C516" i="2" s="1"/>
  <c r="E516" i="2" s="1" a="1"/>
  <c r="E516" i="2" s="1"/>
  <c r="C515" i="2" a="1"/>
  <c r="C515" i="2" s="1"/>
  <c r="E515" i="2" s="1" a="1"/>
  <c r="E515" i="2" s="1"/>
  <c r="C514" i="2" a="1"/>
  <c r="C514" i="2" s="1"/>
  <c r="E514" i="2" s="1" a="1"/>
  <c r="E514" i="2" s="1"/>
  <c r="C513" i="2" a="1"/>
  <c r="C513" i="2" s="1"/>
  <c r="E513" i="2" s="1" a="1"/>
  <c r="E513" i="2" s="1"/>
  <c r="C512" i="2" a="1"/>
  <c r="C512" i="2" s="1"/>
  <c r="E512" i="2" s="1" a="1"/>
  <c r="E512" i="2" s="1"/>
  <c r="E511" i="2" a="1"/>
  <c r="E511" i="2" s="1"/>
  <c r="E510" i="2" a="1"/>
  <c r="E510" i="2" s="1"/>
  <c r="C509" i="2" a="1"/>
  <c r="C509" i="2" s="1"/>
  <c r="E509" i="2" s="1" a="1"/>
  <c r="E509" i="2" s="1"/>
  <c r="C508" i="2" a="1"/>
  <c r="C508" i="2" s="1"/>
  <c r="E508" i="2" s="1" a="1"/>
  <c r="E508" i="2" s="1"/>
  <c r="C507" i="2" a="1"/>
  <c r="C507" i="2" s="1"/>
  <c r="E507" i="2" s="1" a="1"/>
  <c r="E507" i="2" s="1"/>
  <c r="C506" i="2" a="1"/>
  <c r="C506" i="2" s="1"/>
  <c r="E506" i="2" s="1" a="1"/>
  <c r="E506" i="2" s="1"/>
  <c r="C505" i="2" a="1"/>
  <c r="C505" i="2" s="1"/>
  <c r="E505" i="2" s="1" a="1"/>
  <c r="E505" i="2" s="1"/>
  <c r="E504" i="2" a="1"/>
  <c r="E504" i="2" s="1"/>
  <c r="C504" i="2" a="1"/>
  <c r="C504" i="2" s="1"/>
  <c r="E503" i="2" a="1"/>
  <c r="E503" i="2" s="1"/>
  <c r="E502" i="2" a="1"/>
  <c r="E502" i="2" s="1"/>
  <c r="C501" i="2" a="1"/>
  <c r="C501" i="2" s="1"/>
  <c r="E501" i="2" s="1" a="1"/>
  <c r="E501" i="2" s="1"/>
  <c r="C500" i="2" a="1"/>
  <c r="C500" i="2" s="1"/>
  <c r="E500" i="2" s="1" a="1"/>
  <c r="E500" i="2" s="1"/>
  <c r="C499" i="2" a="1"/>
  <c r="C499" i="2" s="1"/>
  <c r="E499" i="2" s="1" a="1"/>
  <c r="E499" i="2" s="1"/>
  <c r="C498" i="2" a="1"/>
  <c r="C498" i="2" s="1"/>
  <c r="E498" i="2" s="1" a="1"/>
  <c r="E498" i="2" s="1"/>
  <c r="C497" i="2" a="1"/>
  <c r="C497" i="2" s="1"/>
  <c r="E497" i="2" s="1" a="1"/>
  <c r="E497" i="2" s="1"/>
  <c r="C496" i="2" a="1"/>
  <c r="C496" i="2" s="1"/>
  <c r="E496" i="2" s="1" a="1"/>
  <c r="E496" i="2" s="1"/>
  <c r="C495" i="2" a="1"/>
  <c r="C495" i="2" s="1"/>
  <c r="E495" i="2" s="1" a="1"/>
  <c r="E495" i="2" s="1"/>
  <c r="C494" i="2" a="1"/>
  <c r="C494" i="2" s="1"/>
  <c r="E494" i="2" s="1" a="1"/>
  <c r="E494" i="2" s="1"/>
  <c r="C493" i="2" a="1"/>
  <c r="C493" i="2" s="1"/>
  <c r="E493" i="2" s="1" a="1"/>
  <c r="E493" i="2" s="1"/>
  <c r="C492" i="2" a="1"/>
  <c r="C492" i="2" s="1"/>
  <c r="E492" i="2" s="1" a="1"/>
  <c r="E492" i="2" s="1"/>
  <c r="C491" i="2" a="1"/>
  <c r="C491" i="2" s="1"/>
  <c r="E491" i="2" s="1" a="1"/>
  <c r="E491" i="2" s="1"/>
  <c r="E490" i="2" a="1"/>
  <c r="E490" i="2" s="1"/>
  <c r="C489" i="2" a="1"/>
  <c r="C489" i="2" s="1"/>
  <c r="E489" i="2" s="1" a="1"/>
  <c r="E489" i="2" s="1"/>
  <c r="C488" i="2" a="1"/>
  <c r="C488" i="2" s="1"/>
  <c r="E488" i="2" s="1" a="1"/>
  <c r="E488" i="2" s="1"/>
  <c r="C487" i="2" a="1"/>
  <c r="C487" i="2" s="1"/>
  <c r="E487" i="2" s="1" a="1"/>
  <c r="E487" i="2" s="1"/>
  <c r="C486" i="2" a="1"/>
  <c r="C486" i="2" s="1"/>
  <c r="E486" i="2" s="1" a="1"/>
  <c r="E486" i="2" s="1"/>
  <c r="C485" i="2" a="1"/>
  <c r="C485" i="2" s="1"/>
  <c r="E485" i="2" s="1" a="1"/>
  <c r="E485" i="2" s="1"/>
  <c r="E484" i="2" a="1"/>
  <c r="E484" i="2" s="1"/>
  <c r="C484" i="2" a="1"/>
  <c r="C484" i="2" s="1"/>
  <c r="C483" i="2" a="1"/>
  <c r="C483" i="2" s="1"/>
  <c r="E483" i="2" s="1" a="1"/>
  <c r="E483" i="2" s="1"/>
  <c r="E482" i="2" a="1"/>
  <c r="E482" i="2" s="1"/>
  <c r="C481" i="2" a="1"/>
  <c r="C481" i="2" s="1"/>
  <c r="E481" i="2" s="1" a="1"/>
  <c r="E481" i="2" s="1"/>
  <c r="C480" i="2" a="1"/>
  <c r="C480" i="2" s="1"/>
  <c r="E480" i="2" s="1" a="1"/>
  <c r="E480" i="2" s="1"/>
  <c r="C479" i="2" a="1"/>
  <c r="C479" i="2" s="1"/>
  <c r="E479" i="2" s="1" a="1"/>
  <c r="E479" i="2" s="1"/>
  <c r="E478" i="2" a="1"/>
  <c r="E478" i="2" s="1"/>
  <c r="C477" i="2" a="1"/>
  <c r="C477" i="2" s="1"/>
  <c r="E477" i="2" s="1" a="1"/>
  <c r="E477" i="2" s="1"/>
  <c r="C476" i="2" a="1"/>
  <c r="C476" i="2" s="1"/>
  <c r="E476" i="2" s="1" a="1"/>
  <c r="E476" i="2" s="1"/>
  <c r="E475" i="2" a="1"/>
  <c r="E475" i="2" s="1"/>
  <c r="E474" i="2" a="1"/>
  <c r="E474" i="2" s="1"/>
  <c r="E473" i="2" a="1"/>
  <c r="E473" i="2" s="1"/>
  <c r="C473" i="2" a="1"/>
  <c r="C473" i="2" s="1"/>
  <c r="C472" i="2" a="1"/>
  <c r="C472" i="2" s="1"/>
  <c r="E472" i="2" s="1" a="1"/>
  <c r="E472" i="2" s="1"/>
  <c r="E471" i="2" a="1"/>
  <c r="E471" i="2" s="1"/>
  <c r="C471" i="2" a="1"/>
  <c r="C471" i="2" s="1"/>
  <c r="E470" i="2" a="1"/>
  <c r="E470" i="2" s="1"/>
  <c r="C470" i="2" a="1"/>
  <c r="C470" i="2" s="1"/>
  <c r="C469" i="2" a="1"/>
  <c r="C469" i="2" s="1"/>
  <c r="E469" i="2" s="1" a="1"/>
  <c r="E469" i="2" s="1"/>
  <c r="E468" i="2" a="1"/>
  <c r="E468" i="2" s="1"/>
  <c r="C467" i="2" a="1"/>
  <c r="C467" i="2" s="1"/>
  <c r="E467" i="2" s="1" a="1"/>
  <c r="E467" i="2" s="1"/>
  <c r="C466" i="2" a="1"/>
  <c r="C466" i="2" s="1"/>
  <c r="E466" i="2" s="1" a="1"/>
  <c r="E466" i="2" s="1"/>
  <c r="C465" i="2" a="1"/>
  <c r="C465" i="2" s="1"/>
  <c r="E465" i="2" s="1" a="1"/>
  <c r="E465" i="2" s="1"/>
  <c r="E464" i="2" a="1"/>
  <c r="E464" i="2" s="1"/>
  <c r="C464" i="2" a="1"/>
  <c r="C464" i="2" s="1"/>
  <c r="E463" i="2" a="1"/>
  <c r="E463" i="2" s="1"/>
  <c r="C463" i="2" a="1"/>
  <c r="C463" i="2" s="1"/>
  <c r="C462" i="2" a="1"/>
  <c r="C462" i="2" s="1"/>
  <c r="E462" i="2" s="1" a="1"/>
  <c r="E462" i="2" s="1"/>
  <c r="C461" i="2" a="1"/>
  <c r="C461" i="2" s="1"/>
  <c r="E461" i="2" s="1" a="1"/>
  <c r="E461" i="2" s="1"/>
  <c r="C460" i="2" a="1"/>
  <c r="C460" i="2" s="1"/>
  <c r="E460" i="2" s="1" a="1"/>
  <c r="E460" i="2" s="1"/>
  <c r="C459" i="2" a="1"/>
  <c r="C459" i="2" s="1"/>
  <c r="E459" i="2" s="1" a="1"/>
  <c r="E459" i="2" s="1"/>
  <c r="C458" i="2" a="1"/>
  <c r="C458" i="2" s="1"/>
  <c r="E458" i="2" s="1" a="1"/>
  <c r="E458" i="2" s="1"/>
  <c r="E457" i="2" a="1"/>
  <c r="E457" i="2" s="1"/>
  <c r="C457" i="2" a="1"/>
  <c r="C457" i="2" s="1"/>
  <c r="E456" i="2" a="1"/>
  <c r="E456" i="2" s="1"/>
  <c r="C455" i="2" a="1"/>
  <c r="C455" i="2" s="1"/>
  <c r="E455" i="2" s="1" a="1"/>
  <c r="E455" i="2" s="1"/>
  <c r="E454" i="2" a="1"/>
  <c r="E454" i="2" s="1"/>
  <c r="C454" i="2" a="1"/>
  <c r="C454" i="2" s="1"/>
  <c r="E453" i="2" a="1"/>
  <c r="E453" i="2" s="1"/>
  <c r="C453" i="2" a="1"/>
  <c r="C453" i="2" s="1"/>
  <c r="E452" i="2" a="1"/>
  <c r="E452" i="2" s="1"/>
  <c r="C452" i="2" a="1"/>
  <c r="C452" i="2" s="1"/>
  <c r="C451" i="2" a="1"/>
  <c r="C451" i="2" s="1"/>
  <c r="E451" i="2" s="1" a="1"/>
  <c r="E451" i="2" s="1"/>
  <c r="C450" i="2" a="1"/>
  <c r="C450" i="2" s="1"/>
  <c r="E450" i="2" s="1" a="1"/>
  <c r="E450" i="2" s="1"/>
  <c r="E449" i="2" a="1"/>
  <c r="E449" i="2" s="1"/>
  <c r="C449" i="2" a="1"/>
  <c r="C449" i="2" s="1"/>
  <c r="E448" i="2" a="1"/>
  <c r="E448" i="2" s="1"/>
  <c r="C448" i="2" a="1"/>
  <c r="C448" i="2" s="1"/>
  <c r="E447" i="2" a="1"/>
  <c r="E447" i="2" s="1"/>
  <c r="C447" i="2" a="1"/>
  <c r="C447" i="2" s="1"/>
  <c r="C446" i="2" a="1"/>
  <c r="C446" i="2" s="1"/>
  <c r="E446" i="2" s="1" a="1"/>
  <c r="E446" i="2" s="1"/>
  <c r="E445" i="2" a="1"/>
  <c r="E445" i="2" s="1"/>
  <c r="E444" i="2" a="1"/>
  <c r="E444" i="2" s="1"/>
  <c r="C443" i="2" a="1"/>
  <c r="C443" i="2" s="1"/>
  <c r="E443" i="2" s="1" a="1"/>
  <c r="E443" i="2" s="1"/>
  <c r="E442" i="2" a="1"/>
  <c r="E442" i="2" s="1"/>
  <c r="C441" i="2" a="1"/>
  <c r="C441" i="2" s="1"/>
  <c r="E441" i="2" s="1" a="1"/>
  <c r="E441" i="2" s="1"/>
  <c r="C440" i="2" a="1"/>
  <c r="C440" i="2" s="1"/>
  <c r="E440" i="2" s="1" a="1"/>
  <c r="E440" i="2" s="1"/>
  <c r="C439" i="2" a="1"/>
  <c r="C439" i="2" s="1"/>
  <c r="E439" i="2" s="1" a="1"/>
  <c r="E439" i="2" s="1"/>
  <c r="E438" i="2" a="1"/>
  <c r="E438" i="2" s="1"/>
  <c r="C438" i="2" a="1"/>
  <c r="C438" i="2" s="1"/>
  <c r="E437" i="2" a="1"/>
  <c r="E437" i="2" s="1"/>
  <c r="C437" i="2" a="1"/>
  <c r="C437" i="2" s="1"/>
  <c r="E436" i="2" a="1"/>
  <c r="E436" i="2" s="1"/>
  <c r="C436" i="2" a="1"/>
  <c r="C436" i="2" s="1"/>
  <c r="C435" i="2" a="1"/>
  <c r="C435" i="2" s="1"/>
  <c r="E435" i="2" s="1" a="1"/>
  <c r="E435" i="2" s="1"/>
  <c r="C434" i="2" a="1"/>
  <c r="C434" i="2" s="1"/>
  <c r="E434" i="2" s="1" a="1"/>
  <c r="E434" i="2" s="1"/>
  <c r="C433" i="2" a="1"/>
  <c r="C433" i="2" s="1"/>
  <c r="E433" i="2" s="1" a="1"/>
  <c r="E433" i="2" s="1"/>
  <c r="C432" i="2" a="1"/>
  <c r="C432" i="2" s="1"/>
  <c r="E432" i="2" s="1" a="1"/>
  <c r="E432" i="2" s="1"/>
  <c r="E431" i="2" a="1"/>
  <c r="E431" i="2" s="1"/>
  <c r="C431" i="2" a="1"/>
  <c r="C431" i="2" s="1"/>
  <c r="C430" i="2" a="1"/>
  <c r="C430" i="2" s="1"/>
  <c r="E430" i="2" s="1" a="1"/>
  <c r="E430" i="2" s="1"/>
  <c r="E429" i="2" a="1"/>
  <c r="E429" i="2" s="1"/>
  <c r="E428" i="2" a="1"/>
  <c r="E428" i="2" s="1"/>
  <c r="C427" i="2" a="1"/>
  <c r="C427" i="2" s="1"/>
  <c r="E427" i="2" s="1" a="1"/>
  <c r="E427" i="2" s="1"/>
  <c r="C426" i="2" a="1"/>
  <c r="C426" i="2" s="1"/>
  <c r="E426" i="2" s="1" a="1"/>
  <c r="E426" i="2" s="1"/>
  <c r="E425" i="2" a="1"/>
  <c r="E425" i="2" s="1"/>
  <c r="C425" i="2" a="1"/>
  <c r="C425" i="2" s="1"/>
  <c r="E424" i="2" a="1"/>
  <c r="E424" i="2" s="1"/>
  <c r="C424" i="2" a="1"/>
  <c r="C424" i="2" s="1"/>
  <c r="C423" i="2" a="1"/>
  <c r="C423" i="2" s="1"/>
  <c r="E423" i="2" s="1" a="1"/>
  <c r="E423" i="2" s="1"/>
  <c r="C422" i="2" a="1"/>
  <c r="C422" i="2" s="1"/>
  <c r="E422" i="2" s="1" a="1"/>
  <c r="E422" i="2" s="1"/>
  <c r="C421" i="2" a="1"/>
  <c r="C421" i="2" s="1"/>
  <c r="E421" i="2" s="1" a="1"/>
  <c r="E421" i="2" s="1"/>
  <c r="C420" i="2" a="1"/>
  <c r="C420" i="2" s="1"/>
  <c r="E420" i="2" s="1" a="1"/>
  <c r="E420" i="2" s="1"/>
  <c r="C419" i="2" a="1"/>
  <c r="C419" i="2" s="1"/>
  <c r="E419" i="2" s="1" a="1"/>
  <c r="E419" i="2" s="1"/>
  <c r="E418" i="2" a="1"/>
  <c r="E418" i="2" s="1"/>
  <c r="C418" i="2" a="1"/>
  <c r="C418" i="2" s="1"/>
  <c r="C417" i="2" a="1"/>
  <c r="C417" i="2" s="1"/>
  <c r="E417" i="2" s="1" a="1"/>
  <c r="E417" i="2" s="1"/>
  <c r="E416" i="2" a="1"/>
  <c r="E416" i="2" s="1"/>
  <c r="E415" i="2" a="1"/>
  <c r="E415" i="2" s="1"/>
  <c r="C415" i="2" a="1"/>
  <c r="C415" i="2" s="1"/>
  <c r="E414" i="2" a="1"/>
  <c r="E414" i="2" s="1"/>
  <c r="C414" i="2" a="1"/>
  <c r="C414" i="2" s="1"/>
  <c r="E413" i="2" a="1"/>
  <c r="E413" i="2" s="1"/>
  <c r="C413" i="2" a="1"/>
  <c r="C413" i="2" s="1"/>
  <c r="C412" i="2" a="1"/>
  <c r="C412" i="2" s="1"/>
  <c r="E412" i="2" s="1" a="1"/>
  <c r="E412" i="2" s="1"/>
  <c r="E411" i="2" a="1"/>
  <c r="E411" i="2" s="1"/>
  <c r="C411" i="2" a="1"/>
  <c r="C411" i="2" s="1"/>
  <c r="E410" i="2" a="1"/>
  <c r="E410" i="2" s="1"/>
  <c r="E409" i="2" a="1"/>
  <c r="E409" i="2" s="1"/>
  <c r="E408" i="2" a="1"/>
  <c r="E408" i="2" s="1"/>
  <c r="C408" i="2" a="1"/>
  <c r="C408" i="2" s="1"/>
  <c r="E407" i="2" a="1"/>
  <c r="E407" i="2" s="1"/>
  <c r="C407" i="2" a="1"/>
  <c r="C407" i="2" s="1"/>
  <c r="C406" i="2" a="1"/>
  <c r="C406" i="2" s="1"/>
  <c r="E406" i="2" s="1" a="1"/>
  <c r="E406" i="2" s="1"/>
  <c r="E405" i="2" a="1"/>
  <c r="E405" i="2" s="1"/>
  <c r="C405" i="2" a="1"/>
  <c r="C405" i="2" s="1"/>
  <c r="E404" i="2" a="1"/>
  <c r="E404" i="2" s="1"/>
  <c r="C404" i="2" a="1"/>
  <c r="C404" i="2" s="1"/>
  <c r="E403" i="2" a="1"/>
  <c r="E403" i="2" s="1"/>
  <c r="C403" i="2" a="1"/>
  <c r="C403" i="2" s="1"/>
  <c r="E402" i="2" a="1"/>
  <c r="E402" i="2" s="1"/>
  <c r="C402" i="2" a="1"/>
  <c r="C402" i="2" s="1"/>
  <c r="E401" i="2" a="1"/>
  <c r="E401" i="2" s="1"/>
  <c r="C401" i="2" a="1"/>
  <c r="C401" i="2" s="1"/>
  <c r="E400" i="2" a="1"/>
  <c r="E400" i="2" s="1"/>
  <c r="C400" i="2" a="1"/>
  <c r="C400" i="2" s="1"/>
  <c r="C399" i="2" a="1"/>
  <c r="C399" i="2" s="1"/>
  <c r="E399" i="2" s="1" a="1"/>
  <c r="E399" i="2" s="1"/>
  <c r="E398" i="2" a="1"/>
  <c r="E398" i="2" s="1"/>
  <c r="C398" i="2" a="1"/>
  <c r="C398" i="2" s="1"/>
  <c r="E397" i="2" a="1"/>
  <c r="E397" i="2" s="1"/>
  <c r="C397" i="2" a="1"/>
  <c r="C397" i="2" s="1"/>
  <c r="E396" i="2" a="1"/>
  <c r="E396" i="2" s="1"/>
  <c r="C396" i="2" a="1"/>
  <c r="C396" i="2" s="1"/>
  <c r="E395" i="2" a="1"/>
  <c r="E395" i="2" s="1"/>
  <c r="C394" i="2" a="1"/>
  <c r="C394" i="2" s="1"/>
  <c r="E394" i="2" s="1" a="1"/>
  <c r="E394" i="2" s="1"/>
  <c r="C393" i="2" a="1"/>
  <c r="C393" i="2" s="1"/>
  <c r="E393" i="2" s="1" a="1"/>
  <c r="E393" i="2" s="1"/>
  <c r="E392" i="2" a="1"/>
  <c r="E392" i="2" s="1"/>
  <c r="C392" i="2" a="1"/>
  <c r="C392" i="2" s="1"/>
  <c r="E391" i="2" a="1"/>
  <c r="E391" i="2" s="1"/>
  <c r="E390" i="2" a="1"/>
  <c r="E390" i="2" s="1"/>
  <c r="C390" i="2" a="1"/>
  <c r="C390" i="2" s="1"/>
  <c r="E389" i="2" a="1"/>
  <c r="E389" i="2" s="1"/>
  <c r="C389" i="2" a="1"/>
  <c r="C389" i="2" s="1"/>
  <c r="E388" i="2" a="1"/>
  <c r="E388" i="2" s="1"/>
  <c r="E387" i="2" a="1"/>
  <c r="E387" i="2" s="1"/>
  <c r="E386" i="2" a="1"/>
  <c r="E386" i="2" s="1"/>
  <c r="E385" i="2" a="1"/>
  <c r="E385" i="2" s="1"/>
  <c r="C385" i="2" a="1"/>
  <c r="C385" i="2" s="1"/>
  <c r="E384" i="2" a="1"/>
  <c r="E384" i="2" s="1"/>
  <c r="E383" i="2" a="1"/>
  <c r="E383" i="2" s="1"/>
  <c r="C383" i="2" a="1"/>
  <c r="C383" i="2" s="1"/>
  <c r="E382" i="2" a="1"/>
  <c r="E382" i="2" s="1"/>
  <c r="C382" i="2" a="1"/>
  <c r="C382" i="2" s="1"/>
  <c r="E381" i="2" a="1"/>
  <c r="E381" i="2" s="1"/>
  <c r="C381" i="2" a="1"/>
  <c r="C381" i="2" s="1"/>
  <c r="E380" i="2" a="1"/>
  <c r="E380" i="2" s="1"/>
  <c r="C380" i="2" a="1"/>
  <c r="C380" i="2" s="1"/>
  <c r="C379" i="2" a="1"/>
  <c r="C379" i="2" s="1"/>
  <c r="E379" i="2" s="1" a="1"/>
  <c r="E379" i="2" s="1"/>
  <c r="E378" i="2" a="1"/>
  <c r="E378" i="2" s="1"/>
  <c r="C378" i="2" a="1"/>
  <c r="C378" i="2" s="1"/>
  <c r="E377" i="2" a="1"/>
  <c r="E377" i="2" s="1"/>
  <c r="C377" i="2" a="1"/>
  <c r="C377" i="2" s="1"/>
  <c r="C376" i="2" a="1"/>
  <c r="C376" i="2" s="1"/>
  <c r="E376" i="2" s="1" a="1"/>
  <c r="E376" i="2" s="1"/>
  <c r="E375" i="2" a="1"/>
  <c r="E375" i="2" s="1"/>
  <c r="C375" i="2" a="1"/>
  <c r="C375" i="2" s="1"/>
  <c r="E374" i="2" a="1"/>
  <c r="E374" i="2" s="1"/>
  <c r="C374" i="2" a="1"/>
  <c r="C374" i="2" s="1"/>
  <c r="C373" i="2" a="1"/>
  <c r="C373" i="2" s="1"/>
  <c r="E373" i="2" s="1" a="1"/>
  <c r="E373" i="2" s="1"/>
  <c r="E372" i="2" a="1"/>
  <c r="E372" i="2" s="1"/>
  <c r="C372" i="2" a="1"/>
  <c r="C372" i="2" s="1"/>
  <c r="C371" i="2" a="1"/>
  <c r="C371" i="2" s="1"/>
  <c r="E371" i="2" s="1" a="1"/>
  <c r="E371" i="2" s="1"/>
  <c r="E370" i="2" a="1"/>
  <c r="E370" i="2" s="1"/>
  <c r="C370" i="2" a="1"/>
  <c r="C370" i="2" s="1"/>
  <c r="E369" i="2" a="1"/>
  <c r="E369" i="2" s="1"/>
  <c r="C369" i="2" a="1"/>
  <c r="C369" i="2" s="1"/>
  <c r="E368" i="2" a="1"/>
  <c r="E368" i="2" s="1"/>
  <c r="C368" i="2" a="1"/>
  <c r="C368" i="2" s="1"/>
  <c r="C367" i="2" a="1"/>
  <c r="C367" i="2" s="1"/>
  <c r="E367" i="2" s="1" a="1"/>
  <c r="E367" i="2" s="1"/>
  <c r="E366" i="2" a="1"/>
  <c r="E366" i="2" s="1"/>
  <c r="C366" i="2" a="1"/>
  <c r="C366" i="2" s="1"/>
  <c r="E365" i="2" a="1"/>
  <c r="E365" i="2" s="1"/>
  <c r="C365" i="2" a="1"/>
  <c r="C365" i="2" s="1"/>
  <c r="C364" i="2" a="1"/>
  <c r="C364" i="2" s="1"/>
  <c r="E364" i="2" s="1" a="1"/>
  <c r="E364" i="2" s="1"/>
  <c r="E363" i="2" a="1"/>
  <c r="E363" i="2" s="1"/>
  <c r="C362" i="2" a="1"/>
  <c r="C362" i="2" s="1"/>
  <c r="E362" i="2" s="1" a="1"/>
  <c r="E362" i="2" s="1"/>
  <c r="C361" i="2" a="1"/>
  <c r="C361" i="2" s="1"/>
  <c r="E361" i="2" s="1" a="1"/>
  <c r="E361" i="2" s="1"/>
  <c r="E360" i="2" a="1"/>
  <c r="E360" i="2" s="1"/>
  <c r="C360" i="2" a="1"/>
  <c r="C360" i="2" s="1"/>
  <c r="E359" i="2" a="1"/>
  <c r="E359" i="2" s="1"/>
  <c r="C359" i="2" a="1"/>
  <c r="C359" i="2" s="1"/>
  <c r="E358" i="2" a="1"/>
  <c r="E358" i="2" s="1"/>
  <c r="C358" i="2" a="1"/>
  <c r="C358" i="2" s="1"/>
  <c r="E357" i="2" a="1"/>
  <c r="E357" i="2" s="1"/>
  <c r="C357" i="2" a="1"/>
  <c r="C357" i="2" s="1"/>
  <c r="E356" i="2" a="1"/>
  <c r="E356" i="2" s="1"/>
  <c r="E355" i="2" a="1"/>
  <c r="E355" i="2" s="1"/>
  <c r="C355" i="2" a="1"/>
  <c r="C355" i="2" s="1"/>
  <c r="C354" i="2" a="1"/>
  <c r="C354" i="2" s="1"/>
  <c r="E354" i="2" s="1" a="1"/>
  <c r="E354" i="2" s="1"/>
  <c r="E353" i="2" a="1"/>
  <c r="E353" i="2" s="1"/>
  <c r="C353" i="2" a="1"/>
  <c r="C353" i="2" s="1"/>
  <c r="C352" i="2" a="1"/>
  <c r="C352" i="2" s="1"/>
  <c r="E352" i="2" s="1" a="1"/>
  <c r="E352" i="2" s="1"/>
  <c r="C351" i="2" a="1"/>
  <c r="C351" i="2" s="1"/>
  <c r="E351" i="2" s="1" a="1"/>
  <c r="E351" i="2" s="1"/>
  <c r="E350" i="2" a="1"/>
  <c r="E350" i="2" s="1"/>
  <c r="C350" i="2" a="1"/>
  <c r="C350" i="2" s="1"/>
  <c r="E349" i="2" a="1"/>
  <c r="E349" i="2" s="1"/>
  <c r="C349" i="2" a="1"/>
  <c r="C349" i="2" s="1"/>
  <c r="C348" i="2" a="1"/>
  <c r="C348" i="2" s="1"/>
  <c r="E348" i="2" s="1" a="1"/>
  <c r="E348" i="2" s="1"/>
  <c r="E347" i="2" a="1"/>
  <c r="E347" i="2" s="1"/>
  <c r="C347" i="2" a="1"/>
  <c r="C347" i="2" s="1"/>
  <c r="C346" i="2" a="1"/>
  <c r="C346" i="2" s="1"/>
  <c r="E346" i="2" s="1" a="1"/>
  <c r="E346" i="2" s="1"/>
  <c r="C345" i="2" a="1"/>
  <c r="C345" i="2" s="1"/>
  <c r="E345" i="2" s="1" a="1"/>
  <c r="E345" i="2" s="1"/>
  <c r="E344" i="2" a="1"/>
  <c r="E344" i="2" s="1"/>
  <c r="C344" i="2" a="1"/>
  <c r="C344" i="2" s="1"/>
  <c r="E343" i="2" a="1"/>
  <c r="E343" i="2" s="1"/>
  <c r="C343" i="2" a="1"/>
  <c r="C343" i="2" s="1"/>
  <c r="C342" i="2" a="1"/>
  <c r="C342" i="2" s="1"/>
  <c r="E342" i="2" s="1" a="1"/>
  <c r="E342" i="2" s="1"/>
  <c r="E341" i="2" a="1"/>
  <c r="E341" i="2" s="1"/>
  <c r="C341" i="2" a="1"/>
  <c r="C341" i="2" s="1"/>
  <c r="C340" i="2" a="1"/>
  <c r="C340" i="2" s="1"/>
  <c r="E340" i="2" s="1" a="1"/>
  <c r="E340" i="2" s="1"/>
  <c r="C339" i="2" a="1"/>
  <c r="C339" i="2" s="1"/>
  <c r="E339" i="2" s="1" a="1"/>
  <c r="E339" i="2" s="1"/>
  <c r="E338" i="2" a="1"/>
  <c r="E338" i="2" s="1"/>
  <c r="C338" i="2" a="1"/>
  <c r="C338" i="2" s="1"/>
  <c r="E337" i="2" a="1"/>
  <c r="E337" i="2" s="1"/>
  <c r="C337" i="2" a="1"/>
  <c r="C337" i="2" s="1"/>
  <c r="C336" i="2" a="1"/>
  <c r="C336" i="2" s="1"/>
  <c r="E336" i="2" s="1" a="1"/>
  <c r="E336" i="2" s="1"/>
  <c r="E335" i="2" a="1"/>
  <c r="E335" i="2" s="1"/>
  <c r="C335" i="2" a="1"/>
  <c r="C335" i="2" s="1"/>
  <c r="C334" i="2" a="1"/>
  <c r="C334" i="2" s="1"/>
  <c r="E334" i="2" s="1" a="1"/>
  <c r="E334" i="2" s="1"/>
  <c r="C333" i="2" a="1"/>
  <c r="C333" i="2" s="1"/>
  <c r="E333" i="2" s="1" a="1"/>
  <c r="E333" i="2" s="1"/>
  <c r="E332" i="2" a="1"/>
  <c r="E332" i="2" s="1"/>
  <c r="C332" i="2" a="1"/>
  <c r="C332" i="2" s="1"/>
  <c r="E331" i="2" a="1"/>
  <c r="E331" i="2" s="1"/>
  <c r="C331" i="2" a="1"/>
  <c r="C331" i="2" s="1"/>
  <c r="C330" i="2" a="1"/>
  <c r="C330" i="2" s="1"/>
  <c r="E330" i="2" s="1" a="1"/>
  <c r="E330" i="2" s="1"/>
  <c r="E329" i="2" a="1"/>
  <c r="E329" i="2" s="1"/>
  <c r="C329" i="2" a="1"/>
  <c r="C329" i="2" s="1"/>
  <c r="C328" i="2" a="1"/>
  <c r="C328" i="2" s="1"/>
  <c r="E328" i="2" s="1" a="1"/>
  <c r="E328" i="2" s="1"/>
  <c r="C327" i="2" a="1"/>
  <c r="C327" i="2" s="1"/>
  <c r="E327" i="2" s="1" a="1"/>
  <c r="E327" i="2" s="1"/>
  <c r="E326" i="2" a="1"/>
  <c r="E326" i="2" s="1"/>
  <c r="C326" i="2" a="1"/>
  <c r="C326" i="2" s="1"/>
  <c r="E325" i="2" a="1"/>
  <c r="E325" i="2" s="1"/>
  <c r="C325" i="2" a="1"/>
  <c r="C325" i="2" s="1"/>
  <c r="C324" i="2" a="1"/>
  <c r="C324" i="2" s="1"/>
  <c r="E324" i="2" s="1" a="1"/>
  <c r="E324" i="2" s="1"/>
  <c r="E323" i="2" a="1"/>
  <c r="E323" i="2" s="1"/>
  <c r="C323" i="2" a="1"/>
  <c r="C323" i="2" s="1"/>
  <c r="C322" i="2" a="1"/>
  <c r="C322" i="2" s="1"/>
  <c r="E322" i="2" s="1" a="1"/>
  <c r="E322" i="2" s="1"/>
  <c r="C321" i="2" a="1"/>
  <c r="C321" i="2" s="1"/>
  <c r="E321" i="2" s="1" a="1"/>
  <c r="E321" i="2" s="1"/>
  <c r="E320" i="2" a="1"/>
  <c r="E320" i="2" s="1"/>
  <c r="C319" i="2" a="1"/>
  <c r="C319" i="2" s="1"/>
  <c r="E319" i="2" s="1" a="1"/>
  <c r="E319" i="2" s="1"/>
  <c r="E318" i="2" a="1"/>
  <c r="E318" i="2" s="1"/>
  <c r="C318" i="2" a="1"/>
  <c r="C318" i="2" s="1"/>
  <c r="C317" i="2" a="1"/>
  <c r="C317" i="2" s="1"/>
  <c r="E317" i="2" s="1" a="1"/>
  <c r="E317" i="2" s="1"/>
  <c r="E316" i="2" a="1"/>
  <c r="E316" i="2" s="1"/>
  <c r="C316" i="2" a="1"/>
  <c r="C316" i="2" s="1"/>
  <c r="E315" i="2" a="1"/>
  <c r="E315" i="2" s="1"/>
  <c r="C314" i="2" a="1"/>
  <c r="C314" i="2" s="1"/>
  <c r="E314" i="2" s="1" a="1"/>
  <c r="E314" i="2" s="1"/>
  <c r="C313" i="2" a="1"/>
  <c r="C313" i="2" s="1"/>
  <c r="E313" i="2" s="1" a="1"/>
  <c r="E313" i="2" s="1"/>
  <c r="E312" i="2" a="1"/>
  <c r="E312" i="2" s="1"/>
  <c r="C311" i="2" a="1"/>
  <c r="C311" i="2" s="1"/>
  <c r="E311" i="2" s="1" a="1"/>
  <c r="E311" i="2" s="1"/>
  <c r="E310" i="2" a="1"/>
  <c r="E310" i="2" s="1"/>
  <c r="E309" i="2" a="1"/>
  <c r="E309" i="2" s="1"/>
  <c r="C309" i="2" a="1"/>
  <c r="C309" i="2" s="1"/>
  <c r="C308" i="2" a="1"/>
  <c r="C308" i="2" s="1"/>
  <c r="E308" i="2" s="1" a="1"/>
  <c r="E308" i="2" s="1"/>
  <c r="E307" i="2" a="1"/>
  <c r="E307" i="2" s="1"/>
  <c r="E306" i="2" a="1"/>
  <c r="E306" i="2" s="1"/>
  <c r="C306" i="2" a="1"/>
  <c r="C306" i="2" s="1"/>
  <c r="C305" i="2" a="1"/>
  <c r="C305" i="2" s="1"/>
  <c r="E305" i="2" s="1" a="1"/>
  <c r="E305" i="2" s="1"/>
  <c r="E304" i="2" a="1"/>
  <c r="E304" i="2" s="1"/>
  <c r="C304" i="2" a="1"/>
  <c r="C304" i="2" s="1"/>
  <c r="C303" i="2" a="1"/>
  <c r="C303" i="2" s="1"/>
  <c r="E303" i="2" s="1" a="1"/>
  <c r="E303" i="2" s="1"/>
  <c r="E302" i="2" a="1"/>
  <c r="E302" i="2" s="1"/>
  <c r="C302" i="2" a="1"/>
  <c r="C302" i="2" s="1"/>
  <c r="E301" i="2" a="1"/>
  <c r="E301" i="2" s="1"/>
  <c r="C301" i="2" a="1"/>
  <c r="C301" i="2" s="1"/>
  <c r="E300" i="2" a="1"/>
  <c r="E300" i="2" s="1"/>
  <c r="C299" i="2" a="1"/>
  <c r="C299" i="2" s="1"/>
  <c r="E299" i="2" s="1" a="1"/>
  <c r="E299" i="2" s="1"/>
  <c r="E298" i="2" a="1"/>
  <c r="E298" i="2" s="1"/>
  <c r="C298" i="2" a="1"/>
  <c r="C298" i="2" s="1"/>
  <c r="C297" i="2" a="1"/>
  <c r="C297" i="2" s="1"/>
  <c r="E297" i="2" s="1" a="1"/>
  <c r="E297" i="2" s="1"/>
  <c r="E296" i="2" a="1"/>
  <c r="E296" i="2" s="1"/>
  <c r="E295" i="2" a="1"/>
  <c r="E295" i="2" s="1"/>
  <c r="C294" i="2" a="1"/>
  <c r="C294" i="2" s="1"/>
  <c r="E294" i="2" s="1" a="1"/>
  <c r="E294" i="2" s="1"/>
  <c r="C293" i="2" a="1"/>
  <c r="C293" i="2" s="1"/>
  <c r="E293" i="2" s="1" a="1"/>
  <c r="E293" i="2" s="1"/>
  <c r="E292" i="2" a="1"/>
  <c r="E292" i="2" s="1"/>
  <c r="C292" i="2" a="1"/>
  <c r="C292" i="2" s="1"/>
  <c r="E291" i="2" a="1"/>
  <c r="E291" i="2" s="1"/>
  <c r="C291" i="2" a="1"/>
  <c r="C291" i="2" s="1"/>
  <c r="C290" i="2" a="1"/>
  <c r="C290" i="2" s="1"/>
  <c r="E290" i="2" s="1" a="1"/>
  <c r="E290" i="2" s="1"/>
  <c r="E289" i="2" a="1"/>
  <c r="E289" i="2" s="1"/>
  <c r="C289" i="2" a="1"/>
  <c r="C289" i="2" s="1"/>
  <c r="E288" i="2" a="1"/>
  <c r="E288" i="2" s="1"/>
  <c r="E287" i="2" a="1"/>
  <c r="E287" i="2" s="1"/>
  <c r="C287" i="2" a="1"/>
  <c r="C287" i="2" s="1"/>
  <c r="C286" i="2" a="1"/>
  <c r="C286" i="2" s="1"/>
  <c r="E286" i="2" s="1" a="1"/>
  <c r="E286" i="2" s="1"/>
  <c r="C285" i="2" a="1"/>
  <c r="C285" i="2" s="1"/>
  <c r="E285" i="2" s="1" a="1"/>
  <c r="E285" i="2" s="1"/>
  <c r="E284" i="2" a="1"/>
  <c r="E284" i="2" s="1"/>
  <c r="E283" i="2" a="1"/>
  <c r="E283" i="2" s="1"/>
  <c r="E282" i="2" a="1"/>
  <c r="E282" i="2" s="1"/>
  <c r="C282" i="2" a="1"/>
  <c r="C282" i="2" s="1"/>
  <c r="E281" i="2" a="1"/>
  <c r="E281" i="2" s="1"/>
  <c r="C281" i="2" a="1"/>
  <c r="C281" i="2" s="1"/>
  <c r="E280" i="2" a="1"/>
  <c r="E280" i="2" s="1"/>
  <c r="C280" i="2" a="1"/>
  <c r="C280" i="2" s="1"/>
  <c r="E279" i="2" a="1"/>
  <c r="E279" i="2" s="1"/>
  <c r="C279" i="2" a="1"/>
  <c r="C279" i="2" s="1"/>
  <c r="C278" i="2" a="1"/>
  <c r="C278" i="2" s="1"/>
  <c r="E278" i="2" s="1" a="1"/>
  <c r="E278" i="2" s="1"/>
  <c r="E277" i="2" a="1"/>
  <c r="E277" i="2" s="1"/>
  <c r="C277" i="2" a="1"/>
  <c r="C277" i="2" s="1"/>
  <c r="E276" i="2" a="1"/>
  <c r="E276" i="2" s="1"/>
  <c r="E275" i="2" a="1"/>
  <c r="E275" i="2" s="1"/>
  <c r="C275" i="2" a="1"/>
  <c r="C275" i="2" s="1"/>
  <c r="E274" i="2" a="1"/>
  <c r="E274" i="2" s="1"/>
  <c r="C274" i="2" a="1"/>
  <c r="C274" i="2" s="1"/>
  <c r="E273" i="2" a="1"/>
  <c r="E273" i="2" s="1"/>
  <c r="C273" i="2" a="1"/>
  <c r="C273" i="2" s="1"/>
  <c r="C272" i="2" a="1"/>
  <c r="C272" i="2" s="1"/>
  <c r="E272" i="2" s="1" a="1"/>
  <c r="E272" i="2" s="1"/>
  <c r="E271" i="2" a="1"/>
  <c r="E271" i="2" s="1"/>
  <c r="C271" i="2" a="1"/>
  <c r="C271" i="2" s="1"/>
  <c r="C270" i="2" a="1"/>
  <c r="C270" i="2" s="1"/>
  <c r="E270" i="2" s="1" a="1"/>
  <c r="E270" i="2" s="1"/>
  <c r="E269" i="2" a="1"/>
  <c r="E269" i="2" s="1"/>
  <c r="C269" i="2" a="1"/>
  <c r="C269" i="2" s="1"/>
  <c r="C268" i="2" a="1"/>
  <c r="C268" i="2" s="1"/>
  <c r="E268" i="2" s="1" a="1"/>
  <c r="E268" i="2" s="1"/>
  <c r="C267" i="2" a="1"/>
  <c r="C267" i="2" s="1"/>
  <c r="E267" i="2" s="1" a="1"/>
  <c r="E267" i="2" s="1"/>
  <c r="C266" i="2" a="1"/>
  <c r="C266" i="2" s="1"/>
  <c r="E266" i="2" s="1" a="1"/>
  <c r="E266" i="2" s="1"/>
  <c r="E265" i="2" a="1"/>
  <c r="E265" i="2" s="1"/>
  <c r="C265" i="2" a="1"/>
  <c r="C265" i="2" s="1"/>
  <c r="C264" i="2" a="1"/>
  <c r="C264" i="2" s="1"/>
  <c r="E264" i="2" s="1" a="1"/>
  <c r="E264" i="2" s="1"/>
  <c r="E263" i="2" a="1"/>
  <c r="E263" i="2" s="1"/>
  <c r="C263" i="2" a="1"/>
  <c r="C263" i="2" s="1"/>
  <c r="E262" i="2" a="1"/>
  <c r="E262" i="2" s="1"/>
  <c r="C262" i="2" a="1"/>
  <c r="C262" i="2" s="1"/>
  <c r="E261" i="2" a="1"/>
  <c r="E261" i="2" s="1"/>
  <c r="C261" i="2" a="1"/>
  <c r="C261" i="2" s="1"/>
  <c r="C260" i="2" a="1"/>
  <c r="C260" i="2" s="1"/>
  <c r="E260" i="2" s="1" a="1"/>
  <c r="E260" i="2" s="1"/>
  <c r="E259" i="2" a="1"/>
  <c r="E259" i="2" s="1"/>
  <c r="C259" i="2" a="1"/>
  <c r="C259" i="2" s="1"/>
  <c r="C258" i="2" a="1"/>
  <c r="C258" i="2" s="1"/>
  <c r="E258" i="2" s="1" a="1"/>
  <c r="E258" i="2" s="1"/>
  <c r="E257" i="2" a="1"/>
  <c r="E257" i="2" s="1"/>
  <c r="C257" i="2" a="1"/>
  <c r="C257" i="2" s="1"/>
  <c r="C256" i="2" a="1"/>
  <c r="C256" i="2" s="1"/>
  <c r="E256" i="2" s="1" a="1"/>
  <c r="E256" i="2" s="1"/>
  <c r="C255" i="2" a="1"/>
  <c r="C255" i="2" s="1"/>
  <c r="E255" i="2" s="1" a="1"/>
  <c r="E255" i="2" s="1"/>
  <c r="C254" i="2" a="1"/>
  <c r="C254" i="2" s="1"/>
  <c r="E254" i="2" s="1" a="1"/>
  <c r="E254" i="2" s="1"/>
  <c r="E253" i="2" a="1"/>
  <c r="E253" i="2" s="1"/>
  <c r="C253" i="2" a="1"/>
  <c r="C253" i="2" s="1"/>
  <c r="C252" i="2" a="1"/>
  <c r="C252" i="2" s="1"/>
  <c r="E252" i="2" s="1" a="1"/>
  <c r="E252" i="2" s="1"/>
  <c r="E250" i="2" a="1"/>
  <c r="E250" i="2" s="1"/>
  <c r="C250" i="2" a="1"/>
  <c r="C250" i="2" s="1"/>
  <c r="C249" i="2" a="1"/>
  <c r="C249" i="2" s="1"/>
  <c r="E249" i="2" s="1" a="1"/>
  <c r="E249" i="2" s="1"/>
  <c r="C248" i="2" a="1"/>
  <c r="C248" i="2" s="1"/>
  <c r="E248" i="2" s="1" a="1"/>
  <c r="E248" i="2" s="1"/>
  <c r="C247" i="2" a="1"/>
  <c r="C247" i="2" s="1"/>
  <c r="E247" i="2" s="1" a="1"/>
  <c r="E247" i="2" s="1"/>
  <c r="C246" i="2" a="1"/>
  <c r="C246" i="2" s="1"/>
  <c r="E246" i="2" s="1" a="1"/>
  <c r="E246" i="2" s="1"/>
  <c r="C245" i="2" a="1"/>
  <c r="C245" i="2" s="1"/>
  <c r="E245" i="2" s="1" a="1"/>
  <c r="E245" i="2" s="1"/>
  <c r="C244" i="2" a="1"/>
  <c r="C244" i="2" s="1"/>
  <c r="E244" i="2" s="1" a="1"/>
  <c r="E244" i="2" s="1"/>
  <c r="C243" i="2" a="1"/>
  <c r="C243" i="2" s="1"/>
  <c r="E243" i="2" s="1" a="1"/>
  <c r="E243" i="2" s="1"/>
  <c r="C242" i="2" a="1"/>
  <c r="C242" i="2" s="1"/>
  <c r="E242" i="2" s="1" a="1"/>
  <c r="E242" i="2" s="1"/>
  <c r="C241" i="2" a="1"/>
  <c r="C241" i="2" s="1"/>
  <c r="E241" i="2" s="1" a="1"/>
  <c r="E241" i="2" s="1"/>
  <c r="C240" i="2" a="1"/>
  <c r="C240" i="2" s="1"/>
  <c r="E240" i="2" s="1" a="1"/>
  <c r="E240" i="2" s="1"/>
  <c r="E239" i="2" a="1"/>
  <c r="E239" i="2" s="1"/>
  <c r="C239" i="2" a="1"/>
  <c r="C239" i="2" s="1"/>
  <c r="C238" i="2" a="1"/>
  <c r="C238" i="2" s="1"/>
  <c r="E238" i="2" s="1" a="1"/>
  <c r="E238" i="2" s="1"/>
  <c r="C237" i="2" a="1"/>
  <c r="C237" i="2" s="1"/>
  <c r="E237" i="2" s="1" a="1"/>
  <c r="E237" i="2" s="1"/>
  <c r="C236" i="2" a="1"/>
  <c r="C236" i="2" s="1"/>
  <c r="E236" i="2" s="1" a="1"/>
  <c r="E236" i="2" s="1"/>
  <c r="C235" i="2" a="1"/>
  <c r="C235" i="2" s="1"/>
  <c r="E235" i="2" s="1" a="1"/>
  <c r="E235" i="2" s="1"/>
  <c r="C234" i="2" a="1"/>
  <c r="C234" i="2" s="1"/>
  <c r="E234" i="2" s="1" a="1"/>
  <c r="E234" i="2" s="1"/>
  <c r="C233" i="2" a="1"/>
  <c r="C233" i="2" s="1"/>
  <c r="E233" i="2" s="1" a="1"/>
  <c r="E233" i="2" s="1"/>
  <c r="C232" i="2" a="1"/>
  <c r="C232" i="2" s="1"/>
  <c r="E232" i="2" s="1" a="1"/>
  <c r="E232" i="2" s="1"/>
  <c r="C231" i="2" a="1"/>
  <c r="C231" i="2" s="1"/>
  <c r="E231" i="2" s="1" a="1"/>
  <c r="E231" i="2" s="1"/>
  <c r="C230" i="2" a="1"/>
  <c r="C230" i="2" s="1"/>
  <c r="E230" i="2" s="1" a="1"/>
  <c r="E230" i="2" s="1"/>
  <c r="C229" i="2" a="1"/>
  <c r="C229" i="2" s="1"/>
  <c r="E229" i="2" s="1" a="1"/>
  <c r="E229" i="2" s="1"/>
  <c r="C228" i="2" a="1"/>
  <c r="C228" i="2" s="1"/>
  <c r="E228" i="2" s="1" a="1"/>
  <c r="E228" i="2" s="1"/>
  <c r="E227" i="2" a="1"/>
  <c r="E227" i="2" s="1"/>
  <c r="C227" i="2" a="1"/>
  <c r="C227" i="2" s="1"/>
  <c r="C226" i="2" a="1"/>
  <c r="C226" i="2" s="1"/>
  <c r="E226" i="2" s="1" a="1"/>
  <c r="E226" i="2" s="1"/>
  <c r="C225" i="2" a="1"/>
  <c r="C225" i="2" s="1"/>
  <c r="E225" i="2" s="1" a="1"/>
  <c r="E225" i="2" s="1"/>
  <c r="C224" i="2" a="1"/>
  <c r="C224" i="2" s="1"/>
  <c r="E224" i="2" s="1" a="1"/>
  <c r="E224" i="2" s="1"/>
  <c r="C223" i="2" a="1"/>
  <c r="C223" i="2" s="1"/>
  <c r="E223" i="2" s="1" a="1"/>
  <c r="E223" i="2" s="1"/>
  <c r="C222" i="2" a="1"/>
  <c r="C222" i="2" s="1"/>
  <c r="E222" i="2" s="1" a="1"/>
  <c r="E222" i="2" s="1"/>
  <c r="C221" i="2" a="1"/>
  <c r="C221" i="2" s="1"/>
  <c r="E221" i="2" s="1" a="1"/>
  <c r="E221" i="2" s="1"/>
  <c r="C220" i="2" a="1"/>
  <c r="C220" i="2" s="1"/>
  <c r="E220" i="2" s="1" a="1"/>
  <c r="E220" i="2" s="1"/>
  <c r="C219" i="2" a="1"/>
  <c r="C219" i="2" s="1"/>
  <c r="E219" i="2" s="1" a="1"/>
  <c r="E219" i="2" s="1"/>
  <c r="C218" i="2" a="1"/>
  <c r="C218" i="2" s="1"/>
  <c r="E218" i="2" s="1" a="1"/>
  <c r="E218" i="2" s="1"/>
  <c r="C217" i="2" a="1"/>
  <c r="C217" i="2" s="1"/>
  <c r="E217" i="2" s="1" a="1"/>
  <c r="E217" i="2" s="1"/>
  <c r="E216" i="2" a="1"/>
  <c r="E216" i="2" s="1"/>
  <c r="E215" i="2" a="1"/>
  <c r="E215" i="2" s="1"/>
  <c r="C215" i="2" a="1"/>
  <c r="C215" i="2" s="1"/>
  <c r="C214" i="2" a="1"/>
  <c r="C214" i="2" s="1"/>
  <c r="E214" i="2" s="1" a="1"/>
  <c r="E214" i="2" s="1"/>
  <c r="E213" i="2" a="1"/>
  <c r="E213" i="2" s="1"/>
  <c r="C213" i="2" a="1"/>
  <c r="C213" i="2" s="1"/>
  <c r="E212" i="2" a="1"/>
  <c r="E212" i="2" s="1"/>
  <c r="C212" i="2" a="1"/>
  <c r="C212" i="2" s="1"/>
  <c r="E211" i="2" a="1"/>
  <c r="E211" i="2" s="1"/>
  <c r="C211" i="2" a="1"/>
  <c r="C211" i="2" s="1"/>
  <c r="C210" i="2" a="1"/>
  <c r="C210" i="2" s="1"/>
  <c r="E210" i="2" s="1" a="1"/>
  <c r="E210" i="2" s="1"/>
  <c r="E209" i="2" a="1"/>
  <c r="E209" i="2" s="1"/>
  <c r="C209" i="2" a="1"/>
  <c r="C209" i="2" s="1"/>
  <c r="E208" i="2" a="1"/>
  <c r="E208" i="2" s="1"/>
  <c r="C206" i="2" a="1"/>
  <c r="C206" i="2" s="1"/>
  <c r="E206" i="2" s="1" a="1"/>
  <c r="E206" i="2" s="1"/>
  <c r="C205" i="2" a="1"/>
  <c r="C205" i="2" s="1"/>
  <c r="E205" i="2" s="1" a="1"/>
  <c r="E205" i="2" s="1"/>
  <c r="C204" i="2" a="1"/>
  <c r="C204" i="2" s="1"/>
  <c r="E204" i="2" s="1" a="1"/>
  <c r="E204" i="2" s="1"/>
  <c r="C203" i="2" a="1"/>
  <c r="C203" i="2" s="1"/>
  <c r="E203" i="2" s="1" a="1"/>
  <c r="E203" i="2" s="1"/>
  <c r="E202" i="2" a="1"/>
  <c r="E202" i="2" s="1"/>
  <c r="C202" i="2" a="1"/>
  <c r="C202" i="2" s="1"/>
  <c r="E201" i="2" a="1"/>
  <c r="E201" i="2" s="1"/>
  <c r="C201" i="2" a="1"/>
  <c r="C201" i="2" s="1"/>
  <c r="C200" i="2" a="1"/>
  <c r="C200" i="2" s="1"/>
  <c r="E200" i="2" s="1" a="1"/>
  <c r="E200" i="2" s="1"/>
  <c r="C199" i="2" a="1"/>
  <c r="C199" i="2" s="1"/>
  <c r="E199" i="2" s="1" a="1"/>
  <c r="E199" i="2" s="1"/>
  <c r="C198" i="2" a="1"/>
  <c r="C198" i="2" s="1"/>
  <c r="E198" i="2" s="1" a="1"/>
  <c r="E198" i="2" s="1"/>
  <c r="C197" i="2" a="1"/>
  <c r="C197" i="2" s="1"/>
  <c r="E197" i="2" s="1" a="1"/>
  <c r="E197" i="2" s="1"/>
  <c r="C196" i="2" a="1"/>
  <c r="C196" i="2" s="1"/>
  <c r="E196" i="2" s="1" a="1"/>
  <c r="E196" i="2" s="1"/>
  <c r="C195" i="2" a="1"/>
  <c r="C195" i="2" s="1"/>
  <c r="E195" i="2" s="1" a="1"/>
  <c r="E195" i="2" s="1"/>
  <c r="C194" i="2" a="1"/>
  <c r="C194" i="2" s="1"/>
  <c r="E194" i="2" s="1" a="1"/>
  <c r="E194" i="2" s="1"/>
  <c r="C193" i="2" a="1"/>
  <c r="C193" i="2" s="1"/>
  <c r="E193" i="2" s="1" a="1"/>
  <c r="E193" i="2" s="1"/>
  <c r="C192" i="2" a="1"/>
  <c r="C192" i="2" s="1"/>
  <c r="E192" i="2" s="1" a="1"/>
  <c r="E192" i="2" s="1"/>
  <c r="E191" i="2" a="1"/>
  <c r="E191" i="2" s="1"/>
  <c r="C189" i="2" a="1"/>
  <c r="C189" i="2" s="1"/>
  <c r="E189" i="2" s="1" a="1"/>
  <c r="E189" i="2" s="1"/>
  <c r="E188" i="2" a="1"/>
  <c r="E188" i="2" s="1"/>
  <c r="C184" i="2" a="1"/>
  <c r="C184" i="2" s="1"/>
  <c r="E184" i="2" s="1" a="1"/>
  <c r="E184" i="2" s="1"/>
  <c r="C182" i="2" a="1"/>
  <c r="C182" i="2" s="1"/>
  <c r="E182" i="2" s="1" a="1"/>
  <c r="E182" i="2" s="1"/>
  <c r="C181" i="2" a="1"/>
  <c r="C181" i="2" s="1"/>
  <c r="E181" i="2" s="1" a="1"/>
  <c r="E181" i="2" s="1"/>
  <c r="C180" i="2" a="1"/>
  <c r="C180" i="2" s="1"/>
  <c r="E180" i="2" s="1" a="1"/>
  <c r="E180" i="2" s="1"/>
  <c r="C179" i="2" a="1"/>
  <c r="C179" i="2" s="1"/>
  <c r="E179" i="2" s="1" a="1"/>
  <c r="E179" i="2" s="1"/>
  <c r="C178" i="2" a="1"/>
  <c r="C178" i="2" s="1"/>
  <c r="E178" i="2" s="1" a="1"/>
  <c r="E178" i="2" s="1"/>
  <c r="C177" i="2" a="1"/>
  <c r="C177" i="2" s="1"/>
  <c r="E177" i="2" s="1" a="1"/>
  <c r="E177" i="2" s="1"/>
  <c r="E176" i="2" a="1"/>
  <c r="E176" i="2" s="1"/>
  <c r="C176" i="2" a="1"/>
  <c r="C176" i="2" s="1"/>
  <c r="C175" i="2" a="1"/>
  <c r="C175" i="2" s="1"/>
  <c r="E175" i="2" s="1" a="1"/>
  <c r="E175" i="2" s="1"/>
  <c r="C174" i="2" a="1"/>
  <c r="C174" i="2" s="1"/>
  <c r="E174" i="2" s="1" a="1"/>
  <c r="E174" i="2" s="1"/>
  <c r="C173" i="2" a="1"/>
  <c r="C173" i="2" s="1"/>
  <c r="E173" i="2" s="1" a="1"/>
  <c r="E173" i="2" s="1"/>
  <c r="C172" i="2" a="1"/>
  <c r="C172" i="2" s="1"/>
  <c r="E172" i="2" s="1" a="1"/>
  <c r="E172" i="2" s="1"/>
  <c r="E171" i="2" a="1"/>
  <c r="E171" i="2" s="1"/>
  <c r="E170" i="2" a="1"/>
  <c r="E170" i="2" s="1"/>
  <c r="C170" i="2" a="1"/>
  <c r="C170" i="2" s="1"/>
  <c r="E169" i="2" a="1"/>
  <c r="E169" i="2" s="1"/>
  <c r="C169" i="2" a="1"/>
  <c r="C169" i="2" s="1"/>
  <c r="E168" i="2" a="1"/>
  <c r="E168" i="2" s="1"/>
  <c r="C168" i="2" a="1"/>
  <c r="C168" i="2" s="1"/>
  <c r="C167" i="2" a="1"/>
  <c r="C167" i="2" s="1"/>
  <c r="E167" i="2" s="1" a="1"/>
  <c r="E167" i="2" s="1"/>
  <c r="E166" i="2" a="1"/>
  <c r="E166" i="2" s="1"/>
  <c r="C166" i="2" a="1"/>
  <c r="C166" i="2" s="1"/>
  <c r="E165" i="2" a="1"/>
  <c r="E165" i="2" s="1"/>
  <c r="C165" i="2" a="1"/>
  <c r="C165" i="2" s="1"/>
  <c r="C164" i="2" a="1"/>
  <c r="C164" i="2" s="1"/>
  <c r="E164" i="2" s="1" a="1"/>
  <c r="E164" i="2" s="1"/>
  <c r="E163" i="2" a="1"/>
  <c r="E163" i="2" s="1"/>
  <c r="C163" i="2" a="1"/>
  <c r="C163" i="2" s="1"/>
  <c r="E162" i="2" a="1"/>
  <c r="E162" i="2" s="1"/>
  <c r="C161" i="2" a="1"/>
  <c r="C161" i="2" s="1"/>
  <c r="E161" i="2" s="1" a="1"/>
  <c r="E161" i="2" s="1"/>
  <c r="C160" i="2" a="1"/>
  <c r="C160" i="2" s="1"/>
  <c r="E160" i="2" s="1" a="1"/>
  <c r="E160" i="2" s="1"/>
  <c r="C159" i="2" a="1"/>
  <c r="C159" i="2" s="1"/>
  <c r="E159" i="2" s="1" a="1"/>
  <c r="E159" i="2" s="1"/>
  <c r="C158" i="2" a="1"/>
  <c r="C158" i="2" s="1"/>
  <c r="E158" i="2" s="1" a="1"/>
  <c r="E158" i="2" s="1"/>
  <c r="C157" i="2" a="1"/>
  <c r="C157" i="2" s="1"/>
  <c r="E157" i="2" s="1" a="1"/>
  <c r="E157" i="2" s="1"/>
  <c r="C156" i="2" a="1"/>
  <c r="C156" i="2" s="1"/>
  <c r="E156" i="2" s="1" a="1"/>
  <c r="E156" i="2" s="1"/>
  <c r="C155" i="2" a="1"/>
  <c r="C155" i="2" s="1"/>
  <c r="E155" i="2" s="1" a="1"/>
  <c r="E155" i="2" s="1"/>
  <c r="C154" i="2" a="1"/>
  <c r="C154" i="2" s="1"/>
  <c r="E154" i="2" s="1" a="1"/>
  <c r="E154" i="2" s="1"/>
  <c r="C153" i="2" a="1"/>
  <c r="C153" i="2" s="1"/>
  <c r="E153" i="2" s="1" a="1"/>
  <c r="E153" i="2" s="1"/>
  <c r="C152" i="2" a="1"/>
  <c r="C152" i="2" s="1"/>
  <c r="E152" i="2" s="1" a="1"/>
  <c r="E152" i="2" s="1"/>
  <c r="E151" i="2" a="1"/>
  <c r="E151" i="2" s="1"/>
  <c r="C151" i="2" a="1"/>
  <c r="C151" i="2" s="1"/>
  <c r="C150" i="2" a="1"/>
  <c r="C150" i="2" s="1"/>
  <c r="E150" i="2" s="1" a="1"/>
  <c r="E150" i="2" s="1"/>
  <c r="C149" i="2" a="1"/>
  <c r="C149" i="2" s="1"/>
  <c r="E149" i="2" s="1" a="1"/>
  <c r="E149" i="2" s="1"/>
  <c r="C148" i="2" a="1"/>
  <c r="C148" i="2" s="1"/>
  <c r="E148" i="2" s="1" a="1"/>
  <c r="E148" i="2" s="1"/>
  <c r="C147" i="2" a="1"/>
  <c r="C147" i="2" s="1"/>
  <c r="E147" i="2" s="1" a="1"/>
  <c r="E147" i="2" s="1"/>
  <c r="C146" i="2" a="1"/>
  <c r="C146" i="2" s="1"/>
  <c r="E146" i="2" s="1" a="1"/>
  <c r="E146" i="2" s="1"/>
  <c r="C145" i="2" a="1"/>
  <c r="C145" i="2" s="1"/>
  <c r="E145" i="2" s="1" a="1"/>
  <c r="E145" i="2" s="1"/>
  <c r="C144" i="2" a="1"/>
  <c r="C144" i="2" s="1"/>
  <c r="E144" i="2" s="1" a="1"/>
  <c r="E144" i="2" s="1"/>
  <c r="C143" i="2" a="1"/>
  <c r="C143" i="2" s="1"/>
  <c r="E143" i="2" s="1" a="1"/>
  <c r="E143" i="2" s="1"/>
  <c r="C142" i="2" a="1"/>
  <c r="C142" i="2" s="1"/>
  <c r="E142" i="2" s="1" a="1"/>
  <c r="E142" i="2" s="1"/>
  <c r="C141" i="2" a="1"/>
  <c r="C141" i="2" s="1"/>
  <c r="E141" i="2" s="1" a="1"/>
  <c r="E141" i="2" s="1"/>
  <c r="C140" i="2" a="1"/>
  <c r="C140" i="2" s="1"/>
  <c r="E140" i="2" s="1" a="1"/>
  <c r="E140" i="2" s="1"/>
  <c r="E139" i="2" a="1"/>
  <c r="E139" i="2" s="1"/>
  <c r="C139" i="2" a="1"/>
  <c r="C139" i="2" s="1"/>
  <c r="C138" i="2" a="1"/>
  <c r="C138" i="2" s="1"/>
  <c r="E138" i="2" s="1" a="1"/>
  <c r="E138" i="2" s="1"/>
  <c r="C137" i="2" a="1"/>
  <c r="C137" i="2" s="1"/>
  <c r="E137" i="2" s="1" a="1"/>
  <c r="E137" i="2" s="1"/>
  <c r="C136" i="2" a="1"/>
  <c r="C136" i="2" s="1"/>
  <c r="E136" i="2" s="1" a="1"/>
  <c r="E136" i="2" s="1"/>
  <c r="E135" i="2" a="1"/>
  <c r="E135" i="2" s="1"/>
  <c r="C135" i="2" a="1"/>
  <c r="C135" i="2" s="1"/>
  <c r="C134" i="2" a="1"/>
  <c r="C134" i="2" s="1"/>
  <c r="E134" i="2" s="1" a="1"/>
  <c r="E134" i="2" s="1"/>
  <c r="E133" i="2" a="1"/>
  <c r="E133" i="2" s="1"/>
  <c r="C133" i="2" a="1"/>
  <c r="C133" i="2" s="1"/>
  <c r="E132" i="2" a="1"/>
  <c r="E132" i="2" s="1"/>
  <c r="C132" i="2" a="1"/>
  <c r="C132" i="2" s="1"/>
  <c r="C131" i="2" a="1"/>
  <c r="C131" i="2" s="1"/>
  <c r="E131" i="2" s="1" a="1"/>
  <c r="E131" i="2" s="1"/>
  <c r="C130" i="2" a="1"/>
  <c r="C130" i="2" s="1"/>
  <c r="E130" i="2" s="1" a="1"/>
  <c r="E130" i="2" s="1"/>
  <c r="C129" i="2" a="1"/>
  <c r="C129" i="2" s="1"/>
  <c r="E129" i="2" s="1" a="1"/>
  <c r="E129" i="2" s="1"/>
  <c r="E128" i="2" a="1"/>
  <c r="E128" i="2" s="1"/>
  <c r="C128" i="2" a="1"/>
  <c r="C128" i="2" s="1"/>
  <c r="C127" i="2" a="1"/>
  <c r="C127" i="2" s="1"/>
  <c r="E127" i="2" s="1" a="1"/>
  <c r="E127" i="2" s="1"/>
  <c r="E126" i="2" a="1"/>
  <c r="E126" i="2" s="1"/>
  <c r="C126" i="2" a="1"/>
  <c r="C126" i="2" s="1"/>
  <c r="C125" i="2" a="1"/>
  <c r="C125" i="2" s="1"/>
  <c r="E125" i="2" s="1" a="1"/>
  <c r="E125" i="2" s="1"/>
  <c r="E124" i="2" a="1"/>
  <c r="E124" i="2" s="1"/>
  <c r="C124" i="2" a="1"/>
  <c r="C124" i="2" s="1"/>
  <c r="C123" i="2" a="1"/>
  <c r="C123" i="2" s="1"/>
  <c r="E123" i="2" s="1" a="1"/>
  <c r="E123" i="2" s="1"/>
  <c r="E122" i="2" a="1"/>
  <c r="E122" i="2" s="1"/>
  <c r="C122" i="2" a="1"/>
  <c r="C122" i="2" s="1"/>
  <c r="E121" i="2" a="1"/>
  <c r="E121" i="2" s="1"/>
  <c r="C121" i="2" a="1"/>
  <c r="C121" i="2" s="1"/>
  <c r="C120" i="2" a="1"/>
  <c r="C120" i="2" s="1"/>
  <c r="E120" i="2" s="1" a="1"/>
  <c r="E120" i="2" s="1"/>
  <c r="C119" i="2" a="1"/>
  <c r="C119" i="2" s="1"/>
  <c r="E119" i="2" s="1" a="1"/>
  <c r="E119" i="2" s="1"/>
  <c r="C118" i="2" a="1"/>
  <c r="C118" i="2" s="1"/>
  <c r="E118" i="2" s="1" a="1"/>
  <c r="E118" i="2" s="1"/>
  <c r="C117" i="2" a="1"/>
  <c r="C117" i="2" s="1"/>
  <c r="E117" i="2" s="1" a="1"/>
  <c r="E117" i="2" s="1"/>
  <c r="C116" i="2" a="1"/>
  <c r="C116" i="2" s="1"/>
  <c r="E116" i="2" s="1" a="1"/>
  <c r="E116" i="2" s="1"/>
  <c r="E115" i="2" a="1"/>
  <c r="E115" i="2" s="1"/>
  <c r="C115" i="2" a="1"/>
  <c r="C115" i="2" s="1"/>
  <c r="C114" i="2" a="1"/>
  <c r="C114" i="2" s="1"/>
  <c r="E114" i="2" s="1" a="1"/>
  <c r="E114" i="2" s="1"/>
  <c r="E113" i="2" a="1"/>
  <c r="E113" i="2" s="1"/>
  <c r="C113" i="2" a="1"/>
  <c r="C113" i="2" s="1"/>
  <c r="C112" i="2" a="1"/>
  <c r="C112" i="2" s="1"/>
  <c r="E112" i="2" s="1" a="1"/>
  <c r="E112" i="2" s="1"/>
  <c r="E111" i="2" a="1"/>
  <c r="E111" i="2" s="1"/>
  <c r="E110" i="2" a="1"/>
  <c r="E110" i="2" s="1"/>
  <c r="E109" i="2" a="1"/>
  <c r="E109" i="2" s="1"/>
  <c r="E108" i="2" a="1"/>
  <c r="E108" i="2" s="1"/>
  <c r="E107" i="2" a="1"/>
  <c r="E107" i="2" s="1"/>
  <c r="E106" i="2" a="1"/>
  <c r="E106" i="2" s="1"/>
  <c r="E105" i="2" a="1"/>
  <c r="E105" i="2" s="1"/>
  <c r="E104" i="2" a="1"/>
  <c r="E104" i="2" s="1"/>
  <c r="C104" i="2" a="1"/>
  <c r="C104" i="2" s="1"/>
  <c r="C103" i="2" a="1"/>
  <c r="C103" i="2" s="1"/>
  <c r="E103" i="2" s="1" a="1"/>
  <c r="E103" i="2" s="1"/>
  <c r="E102" i="2" a="1"/>
  <c r="E102" i="2" s="1"/>
  <c r="C102" i="2" a="1"/>
  <c r="C102" i="2" s="1"/>
  <c r="E101" i="2" a="1"/>
  <c r="E101" i="2" s="1"/>
  <c r="C101" i="2" a="1"/>
  <c r="C101" i="2" s="1"/>
  <c r="C100" i="2" a="1"/>
  <c r="C100" i="2" s="1"/>
  <c r="E100" i="2" s="1" a="1"/>
  <c r="E100" i="2" s="1"/>
  <c r="C99" i="2" a="1"/>
  <c r="C99" i="2"/>
  <c r="E99" i="2" s="1" a="1"/>
  <c r="E99" i="2" s="1"/>
  <c r="E98" i="2" a="1"/>
  <c r="E98" i="2" s="1"/>
  <c r="C98" i="2" a="1"/>
  <c r="C98" i="2" s="1"/>
  <c r="C97" i="2" a="1"/>
  <c r="C97" i="2" s="1"/>
  <c r="E97" i="2" s="1" a="1"/>
  <c r="E97" i="2" s="1"/>
  <c r="C96" i="2" a="1"/>
  <c r="C96" i="2" s="1"/>
  <c r="E96" i="2" s="1" a="1"/>
  <c r="E96" i="2" s="1"/>
  <c r="C95" i="2" a="1"/>
  <c r="C95" i="2" s="1"/>
  <c r="E95" i="2" s="1" a="1"/>
  <c r="E95" i="2" s="1"/>
  <c r="C94" i="2" a="1"/>
  <c r="C94" i="2" s="1"/>
  <c r="E94" i="2" s="1" a="1"/>
  <c r="E94" i="2" s="1"/>
  <c r="C93" i="2" a="1"/>
  <c r="C93" i="2" s="1"/>
  <c r="E93" i="2" s="1" a="1"/>
  <c r="E93" i="2" s="1"/>
  <c r="E92" i="2" a="1"/>
  <c r="E92" i="2" s="1"/>
  <c r="E91" i="2" a="1"/>
  <c r="E91" i="2" s="1"/>
  <c r="E90" i="2" a="1"/>
  <c r="E90" i="2" s="1"/>
  <c r="C89" i="2" a="1"/>
  <c r="C89" i="2" s="1"/>
  <c r="E89" i="2" s="1" a="1"/>
  <c r="E89" i="2" s="1"/>
  <c r="E88" i="2" a="1"/>
  <c r="E88" i="2" s="1"/>
  <c r="C88" i="2" a="1"/>
  <c r="C88" i="2" s="1"/>
  <c r="C87" i="2" a="1"/>
  <c r="C87" i="2" s="1"/>
  <c r="E87" i="2" s="1" a="1"/>
  <c r="E87" i="2" s="1"/>
  <c r="C86" i="2" a="1"/>
  <c r="C86" i="2" s="1"/>
  <c r="E86" i="2" s="1" a="1"/>
  <c r="E86" i="2" s="1"/>
  <c r="E85" i="2" a="1"/>
  <c r="E85" i="2" s="1"/>
  <c r="C85" i="2" a="1"/>
  <c r="C85" i="2" s="1"/>
  <c r="E84" i="2" a="1"/>
  <c r="E84" i="2" s="1"/>
  <c r="C84" i="2" a="1"/>
  <c r="C84" i="2" s="1"/>
  <c r="E83" i="2" a="1"/>
  <c r="E83" i="2" s="1"/>
  <c r="C83" i="2" a="1"/>
  <c r="C83" i="2" s="1"/>
  <c r="E82" i="2" a="1"/>
  <c r="E82" i="2" s="1"/>
  <c r="C82" i="2" a="1"/>
  <c r="C82" i="2" s="1"/>
  <c r="E81" i="2" a="1"/>
  <c r="E81" i="2" s="1"/>
  <c r="C81" i="2" a="1"/>
  <c r="C81" i="2" s="1"/>
  <c r="E80" i="2" a="1"/>
  <c r="E80" i="2" s="1"/>
  <c r="C80" i="2" a="1"/>
  <c r="C80" i="2" s="1"/>
  <c r="C79" i="2" a="1"/>
  <c r="C79" i="2" s="1"/>
  <c r="E79" i="2" s="1" a="1"/>
  <c r="E79" i="2" s="1"/>
  <c r="C78" i="2" a="1"/>
  <c r="C78" i="2" s="1"/>
  <c r="E78" i="2" s="1" a="1"/>
  <c r="E78" i="2" s="1"/>
  <c r="E77" i="2" a="1"/>
  <c r="E77" i="2" s="1"/>
  <c r="C77" i="2" a="1"/>
  <c r="C77" i="2" s="1"/>
  <c r="C76" i="2" a="1"/>
  <c r="C76" i="2" s="1"/>
  <c r="E76" i="2" s="1" a="1"/>
  <c r="E76" i="2" s="1"/>
  <c r="C75" i="2" a="1"/>
  <c r="C75" i="2" s="1"/>
  <c r="E75" i="2" s="1" a="1"/>
  <c r="E75" i="2" s="1"/>
  <c r="E74" i="2" a="1"/>
  <c r="E74" i="2" s="1"/>
  <c r="C74" i="2" a="1"/>
  <c r="C74" i="2" s="1"/>
  <c r="E73" i="2" a="1"/>
  <c r="E73" i="2"/>
  <c r="C73" i="2" a="1"/>
  <c r="C73" i="2" s="1"/>
  <c r="E72" i="2" a="1"/>
  <c r="E72" i="2" s="1"/>
  <c r="C72" i="2" a="1"/>
  <c r="C72" i="2" s="1"/>
  <c r="E71" i="2" a="1"/>
  <c r="E71" i="2" s="1"/>
  <c r="C71" i="2" a="1"/>
  <c r="C71" i="2" s="1"/>
  <c r="E70" i="2" a="1"/>
  <c r="E70" i="2" s="1"/>
  <c r="C70" i="2" a="1"/>
  <c r="C70" i="2" s="1"/>
  <c r="E69" i="2" a="1"/>
  <c r="E69" i="2" s="1"/>
  <c r="C69" i="2" a="1"/>
  <c r="C69" i="2" s="1"/>
  <c r="E68" i="2" a="1"/>
  <c r="E68" i="2" s="1"/>
  <c r="E67" i="2" a="1"/>
  <c r="E67" i="2" s="1"/>
  <c r="C66" i="2" a="1"/>
  <c r="C66" i="2" s="1"/>
  <c r="E66" i="2" s="1" a="1"/>
  <c r="E66" i="2" s="1"/>
  <c r="E65" i="2" a="1"/>
  <c r="E65" i="2" s="1"/>
  <c r="C65" i="2" a="1"/>
  <c r="C65" i="2" s="1"/>
  <c r="C64" i="2" a="1"/>
  <c r="C64" i="2" s="1"/>
  <c r="E64" i="2" s="1" a="1"/>
  <c r="E64" i="2" s="1"/>
  <c r="C63" i="2" a="1"/>
  <c r="C63" i="2" s="1"/>
  <c r="E63" i="2" s="1" a="1"/>
  <c r="E63" i="2" s="1"/>
  <c r="E62" i="2" a="1"/>
  <c r="E62" i="2" s="1"/>
  <c r="C62" i="2" a="1"/>
  <c r="C62" i="2" s="1"/>
  <c r="C61" i="2" a="1"/>
  <c r="C61" i="2" s="1"/>
  <c r="E61" i="2" s="1" a="1"/>
  <c r="E61" i="2" s="1"/>
  <c r="E60" i="2" a="1"/>
  <c r="E60" i="2"/>
  <c r="C60" i="2" a="1"/>
  <c r="C60" i="2" s="1"/>
  <c r="E59" i="2" a="1"/>
  <c r="E59" i="2" s="1"/>
  <c r="C59" i="2" a="1"/>
  <c r="C59" i="2" s="1"/>
  <c r="E58" i="2" a="1"/>
  <c r="E58" i="2" s="1"/>
  <c r="C58" i="2" a="1"/>
  <c r="C58" i="2" s="1"/>
  <c r="E57" i="2" a="1"/>
  <c r="E57" i="2" s="1"/>
  <c r="C57" i="2" a="1"/>
  <c r="C57" i="2" s="1"/>
  <c r="C56" i="2" a="1"/>
  <c r="C56" i="2" s="1"/>
  <c r="E56" i="2" s="1" a="1"/>
  <c r="E56" i="2" s="1"/>
  <c r="E55" i="2" a="1"/>
  <c r="E55" i="2" s="1"/>
  <c r="C55" i="2" a="1"/>
  <c r="C55" i="2" s="1"/>
  <c r="E54" i="2" a="1"/>
  <c r="E54" i="2"/>
  <c r="C54" i="2" a="1"/>
  <c r="C54" i="2" s="1"/>
  <c r="C53" i="2" a="1"/>
  <c r="C53" i="2" s="1"/>
  <c r="E53" i="2" s="1" a="1"/>
  <c r="E53" i="2" s="1"/>
  <c r="E52" i="2" a="1"/>
  <c r="E52" i="2" s="1"/>
  <c r="E51" i="2" a="1"/>
  <c r="E51" i="2" s="1"/>
  <c r="E50" i="2" a="1"/>
  <c r="E50" i="2" s="1"/>
  <c r="C49" i="2" a="1"/>
  <c r="C49" i="2" s="1"/>
  <c r="E49" i="2" s="1" a="1"/>
  <c r="E49" i="2" s="1"/>
  <c r="E48" i="2" a="1"/>
  <c r="E48" i="2" s="1"/>
  <c r="C48" i="2" a="1"/>
  <c r="C48" i="2" s="1"/>
  <c r="E47" i="2" a="1"/>
  <c r="E47" i="2" s="1"/>
  <c r="C47" i="2" a="1"/>
  <c r="C47" i="2"/>
  <c r="C46" i="2" a="1"/>
  <c r="C46" i="2" s="1"/>
  <c r="E46" i="2" s="1" a="1"/>
  <c r="E46" i="2" s="1"/>
  <c r="C45" i="2" a="1"/>
  <c r="C45" i="2" s="1"/>
  <c r="E45" i="2" s="1" a="1"/>
  <c r="E45" i="2" s="1"/>
  <c r="C44" i="2" a="1"/>
  <c r="C44" i="2" s="1"/>
  <c r="E44" i="2" s="1" a="1"/>
  <c r="E44" i="2" s="1"/>
  <c r="C43" i="2" a="1"/>
  <c r="C43" i="2" s="1"/>
  <c r="E43" i="2" s="1" a="1"/>
  <c r="E43" i="2" s="1"/>
  <c r="C42" i="2" a="1"/>
  <c r="C42" i="2" s="1"/>
  <c r="E42" i="2" s="1" a="1"/>
  <c r="E42" i="2" s="1"/>
  <c r="E41" i="2" a="1"/>
  <c r="E41" i="2" s="1"/>
  <c r="C41" i="2" a="1"/>
  <c r="C41" i="2"/>
  <c r="C40" i="2" a="1"/>
  <c r="C40" i="2" s="1"/>
  <c r="E40" i="2" s="1" a="1"/>
  <c r="E40" i="2" s="1"/>
  <c r="C39" i="2" a="1"/>
  <c r="C39" i="2" s="1"/>
  <c r="E39" i="2" s="1" a="1"/>
  <c r="E39" i="2" s="1"/>
  <c r="C38" i="2" a="1"/>
  <c r="C38" i="2" s="1"/>
  <c r="E38" i="2" s="1" a="1"/>
  <c r="E38" i="2" s="1"/>
  <c r="E37" i="2" a="1"/>
  <c r="E37" i="2" s="1"/>
  <c r="C37" i="2" a="1"/>
  <c r="C37" i="2" s="1"/>
  <c r="E36" i="2" a="1"/>
  <c r="E36" i="2" s="1"/>
  <c r="C36" i="2" a="1"/>
  <c r="C36" i="2" s="1"/>
  <c r="C35" i="2" a="1"/>
  <c r="C35" i="2"/>
  <c r="E35" i="2" s="1" a="1"/>
  <c r="E35" i="2" s="1"/>
  <c r="C34" i="2" a="1"/>
  <c r="C34" i="2" s="1"/>
  <c r="E34" i="2" s="1" a="1"/>
  <c r="E34" i="2" s="1"/>
  <c r="C33" i="2" a="1"/>
  <c r="C33" i="2" s="1"/>
  <c r="E33" i="2" s="1" a="1"/>
  <c r="E33" i="2" s="1"/>
  <c r="C32" i="2" a="1"/>
  <c r="C32" i="2" s="1"/>
  <c r="E32" i="2" s="1" a="1"/>
  <c r="E32" i="2" s="1"/>
  <c r="C31" i="2" a="1"/>
  <c r="C31" i="2" s="1"/>
  <c r="E31" i="2" s="1" a="1"/>
  <c r="E31" i="2" s="1"/>
  <c r="E30" i="2" a="1"/>
  <c r="E30" i="2" s="1"/>
  <c r="C30" i="2" a="1"/>
  <c r="C30" i="2" s="1"/>
  <c r="C29" i="2" a="1"/>
  <c r="C29" i="2"/>
  <c r="E29" i="2" s="1" a="1"/>
  <c r="E29" i="2" s="1"/>
  <c r="C28" i="2" a="1"/>
  <c r="C28" i="2" s="1"/>
  <c r="E28" i="2" s="1" a="1"/>
  <c r="E28" i="2" s="1"/>
  <c r="E27" i="2" a="1"/>
  <c r="E27" i="2" s="1"/>
  <c r="E26" i="2" a="1"/>
  <c r="E26" i="2" s="1"/>
  <c r="E25" i="2" a="1"/>
  <c r="E25" i="2" s="1"/>
  <c r="C25" i="2" a="1"/>
  <c r="C25" i="2" s="1"/>
  <c r="E24" i="2" a="1"/>
  <c r="E24" i="2" s="1"/>
  <c r="C24" i="2" a="1"/>
  <c r="C24" i="2" s="1"/>
  <c r="E23" i="2" a="1"/>
  <c r="E23" i="2" s="1"/>
  <c r="C23" i="2" a="1"/>
  <c r="C23" i="2" s="1"/>
  <c r="C22" i="2" a="1"/>
  <c r="C22" i="2"/>
  <c r="E22" i="2" s="1" a="1"/>
  <c r="E22" i="2" s="1"/>
  <c r="C21" i="2" a="1"/>
  <c r="C21" i="2" s="1"/>
  <c r="E21" i="2" s="1" a="1"/>
  <c r="E21" i="2" s="1"/>
  <c r="C20" i="2" a="1"/>
  <c r="C20" i="2" s="1"/>
  <c r="E20" i="2" s="1" a="1"/>
  <c r="E20" i="2" s="1"/>
  <c r="C19" i="2" a="1"/>
  <c r="C19" i="2" s="1"/>
  <c r="E19" i="2" s="1" a="1"/>
  <c r="E19" i="2" s="1"/>
  <c r="E18" i="2" a="1"/>
  <c r="E18" i="2" s="1"/>
  <c r="C18" i="2" a="1"/>
  <c r="C18" i="2" s="1"/>
  <c r="C17" i="2" a="1"/>
  <c r="C17" i="2" s="1"/>
  <c r="E17" i="2" s="1" a="1"/>
  <c r="E17" i="2" s="1"/>
  <c r="C16" i="2" a="1"/>
  <c r="C16" i="2"/>
  <c r="E16" i="2" s="1" a="1"/>
  <c r="E16" i="2" s="1"/>
  <c r="C15" i="2" a="1"/>
  <c r="C15" i="2" s="1"/>
  <c r="E15" i="2" s="1" a="1"/>
  <c r="E15" i="2" s="1"/>
  <c r="E14" i="2" a="1"/>
  <c r="E14" i="2" s="1"/>
  <c r="C14" i="2" a="1"/>
  <c r="C14" i="2" s="1"/>
  <c r="E13" i="2" a="1"/>
  <c r="E13" i="2" s="1"/>
  <c r="C13" i="2" a="1"/>
  <c r="C13" i="2" s="1"/>
  <c r="E12" i="2" a="1"/>
  <c r="E12" i="2" s="1"/>
  <c r="C12" i="2" a="1"/>
  <c r="C12" i="2" s="1"/>
  <c r="E11" i="2" a="1"/>
  <c r="E11" i="2" s="1"/>
  <c r="C11" i="2" a="1"/>
  <c r="C11" i="2" s="1"/>
  <c r="C10" i="2" a="1"/>
  <c r="C10" i="2" s="1"/>
  <c r="E10" i="2" s="1" a="1"/>
  <c r="E10" i="2" s="1"/>
  <c r="C9" i="2" a="1"/>
  <c r="C9" i="2" s="1"/>
  <c r="E9" i="2" s="1" a="1"/>
  <c r="E9" i="2" s="1"/>
  <c r="C8" i="2" a="1"/>
  <c r="C8" i="2" s="1"/>
  <c r="E8" i="2" s="1" a="1"/>
  <c r="E8" i="2" s="1"/>
  <c r="E7" i="2" a="1"/>
  <c r="E7" i="2" s="1"/>
  <c r="C7" i="2" a="1"/>
  <c r="C7" i="2" s="1"/>
  <c r="C6" i="2" a="1"/>
  <c r="C6" i="2" s="1"/>
  <c r="E6" i="2" s="1" a="1"/>
  <c r="E6" i="2" s="1"/>
  <c r="C5" i="2" a="1"/>
  <c r="C5" i="2" s="1"/>
  <c r="E5" i="2" s="1" a="1"/>
  <c r="E5" i="2" s="1"/>
  <c r="E4" i="2" a="1"/>
  <c r="E4" i="2" s="1"/>
  <c r="C4" i="2" a="1"/>
  <c r="C4" i="2"/>
  <c r="E3" i="2" a="1"/>
  <c r="E3" i="2" s="1"/>
  <c r="C3" i="2" a="1"/>
  <c r="C3" i="2" s="1"/>
  <c r="E2" i="2" a="1"/>
  <c r="E2" i="2" s="1"/>
  <c r="C2" i="2" a="1"/>
  <c r="C2" i="2" s="1"/>
  <c r="C251" i="2" a="1"/>
  <c r="C186" i="2" a="1"/>
  <c r="C185" i="2" a="1"/>
  <c r="C183" i="2" a="1"/>
  <c r="C207" i="2" a="1"/>
  <c r="C187" i="2" a="1"/>
  <c r="C190" i="2" a="1"/>
  <c r="C190" i="2" l="1"/>
  <c r="E190" i="2" s="1" a="1"/>
  <c r="E190" i="2" s="1"/>
  <c r="C187" i="2"/>
  <c r="E187" i="2" s="1" a="1"/>
  <c r="E187" i="2" s="1"/>
  <c r="C207" i="2"/>
  <c r="E207" i="2" s="1" a="1"/>
  <c r="E207" i="2" s="1"/>
  <c r="C183" i="2"/>
  <c r="E183" i="2" s="1" a="1"/>
  <c r="E183" i="2" s="1"/>
  <c r="C185" i="2"/>
  <c r="E185" i="2" s="1" a="1"/>
  <c r="E185" i="2" s="1"/>
  <c r="C186" i="2"/>
  <c r="E186" i="2" s="1" a="1"/>
  <c r="E186" i="2" s="1"/>
  <c r="C251" i="2"/>
  <c r="E251" i="2" s="1" a="1"/>
  <c r="E25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sharedStrings.xml><?xml version="1.0" encoding="utf-8"?>
<sst xmlns="http://schemas.openxmlformats.org/spreadsheetml/2006/main" count="1189" uniqueCount="1135">
  <si>
    <t>Excel Formulas Summary</t>
  </si>
  <si>
    <t>Excel formulas</t>
  </si>
  <si>
    <t>Formula</t>
  </si>
  <si>
    <t>Test</t>
  </si>
  <si>
    <t>Test run</t>
  </si>
  <si>
    <t>Expected</t>
  </si>
  <si>
    <t>Result</t>
  </si>
  <si>
    <t>Multi-Cell Tests and Results</t>
  </si>
  <si>
    <t>ABS</t>
  </si>
  <si>
    <t>ABS(-5)</t>
  </si>
  <si>
    <t>ACCRINT</t>
  </si>
  <si>
    <t>ACCRINT("2020-01-01", "2020-06-01", "2020-12-31", 0.05, 1000, 2, 0)</t>
  </si>
  <si>
    <t>ACCRINTM</t>
  </si>
  <si>
    <t>ACCRINTM("2020-01-01", "2020-06-01", 0.05, 1000, 0)</t>
  </si>
  <si>
    <t>ACOS</t>
  </si>
  <si>
    <t>ACOS(0.5)</t>
  </si>
  <si>
    <t>ACOSH</t>
  </si>
  <si>
    <t>ACOSH(2)</t>
  </si>
  <si>
    <t>ACOT</t>
  </si>
  <si>
    <t>ACOT(1)</t>
  </si>
  <si>
    <t>ACOTH</t>
  </si>
  <si>
    <t>ACOTH(2)</t>
  </si>
  <si>
    <t>AGGREGATE</t>
  </si>
  <si>
    <t>AGGREGATE(1, 6, {1,2,3,4,5})</t>
  </si>
  <si>
    <t>ADDRESS</t>
  </si>
  <si>
    <t>ADDRESS(1, 1)</t>
  </si>
  <si>
    <t>$A$1</t>
  </si>
  <si>
    <t>AMORDEGRC</t>
  </si>
  <si>
    <t>AMORDEGRC(1000, "2020-01-01", "2020-12-31", 100, 1, 0.15, 0)</t>
  </si>
  <si>
    <t>AMORLINC</t>
  </si>
  <si>
    <t>AMORLINC(1000, "2020-01-01", "2020-12-31", 100, 1, 0.15, 0)</t>
  </si>
  <si>
    <t>AND</t>
  </si>
  <si>
    <t>AND(TRUE, TRUE)</t>
  </si>
  <si>
    <t>ARABIC</t>
  </si>
  <si>
    <t>ARABIC("X")</t>
  </si>
  <si>
    <t>AREAS</t>
  </si>
  <si>
    <t>AREAS(A1:B2)</t>
  </si>
  <si>
    <t>ARRAYTOTEXT</t>
  </si>
  <si>
    <t>ARRAYTOTEXT({1,2,3})</t>
  </si>
  <si>
    <t>1, 2, 3</t>
  </si>
  <si>
    <t>ASC</t>
  </si>
  <si>
    <t>ASC("ABC")</t>
  </si>
  <si>
    <t>ABC</t>
  </si>
  <si>
    <t>ASIN</t>
  </si>
  <si>
    <t>ASIN(0.5)</t>
  </si>
  <si>
    <t>ASINH</t>
  </si>
  <si>
    <t>ASINH(1)</t>
  </si>
  <si>
    <t>ATAN</t>
  </si>
  <si>
    <t>ATAN(1)</t>
  </si>
  <si>
    <t>ATAN2</t>
  </si>
  <si>
    <t>ATAN2(1, 1)</t>
  </si>
  <si>
    <t>ATANH</t>
  </si>
  <si>
    <t>ATANH(0.5)</t>
  </si>
  <si>
    <t>AVEDEV</t>
  </si>
  <si>
    <t>AVEDEV(1,2,3,4,5)</t>
  </si>
  <si>
    <t>AVERAGE</t>
  </si>
  <si>
    <t>AVERAGE(1,2,3,4,5)</t>
  </si>
  <si>
    <t>AVERAGEA</t>
  </si>
  <si>
    <t>AVERAGEA(1,2,3,4,5)</t>
  </si>
  <si>
    <t>AVERAGEIF</t>
  </si>
  <si>
    <t>AVERAGEIF({1,2,3,4,5}, "&gt;2")</t>
  </si>
  <si>
    <t>AVERAGEIFS</t>
  </si>
  <si>
    <t>AVERAGEIFS({1,2,3,4,5}, {1,2,3,4,5}, "&gt;2")</t>
  </si>
  <si>
    <t>BAHTTEXT</t>
  </si>
  <si>
    <t>BAHTTEXT(123)</t>
  </si>
  <si>
    <t>หนึ่งร้อยยี่สิบสามบาทถ้วน</t>
  </si>
  <si>
    <t>BASE</t>
  </si>
  <si>
    <t>BASE(10, 2)</t>
  </si>
  <si>
    <t>BESSELI</t>
  </si>
  <si>
    <t>BESSELI(1, 0)</t>
  </si>
  <si>
    <t>BESSELJ</t>
  </si>
  <si>
    <t>BESSELJ(1, 0)</t>
  </si>
  <si>
    <t>BESSELK</t>
  </si>
  <si>
    <t>BESSELK(1, 0)</t>
  </si>
  <si>
    <t>BESSELY</t>
  </si>
  <si>
    <t>BESSELY(1, 0)</t>
  </si>
  <si>
    <t>BETADIST</t>
  </si>
  <si>
    <t>BETADIST(0.5, 2, 3)</t>
  </si>
  <si>
    <t>BETA.DIST</t>
  </si>
  <si>
    <t>BETA.DIST(0.5, 2, 3, TRUE)</t>
  </si>
  <si>
    <t>BETAINV</t>
  </si>
  <si>
    <t>BETAINV(0.5, 2, 3)</t>
  </si>
  <si>
    <t>BETA.INV</t>
  </si>
  <si>
    <t>BETA.INV(0.5, 2, 3)</t>
  </si>
  <si>
    <t>BIN2DEC</t>
  </si>
  <si>
    <t>BIN2DEC("1010")</t>
  </si>
  <si>
    <t>BIN2HEX</t>
  </si>
  <si>
    <t>BIN2HEX("1010")</t>
  </si>
  <si>
    <t>A</t>
  </si>
  <si>
    <t>BIN2OCT</t>
  </si>
  <si>
    <t>BIN2OCT("1010")</t>
  </si>
  <si>
    <t>BINOMDIST</t>
  </si>
  <si>
    <t>BINOMDIST(5, 10, 0.5, FALSE)</t>
  </si>
  <si>
    <t>BINOM.DIST</t>
  </si>
  <si>
    <t>BINOM.DIST(5, 10, 0.5, FALSE)</t>
  </si>
  <si>
    <t>BINOM.DIST.RANGE</t>
  </si>
  <si>
    <t>BINOM.DIST.RANGE(10, 0.5, 3, 7)</t>
  </si>
  <si>
    <t>BINOM.INV</t>
  </si>
  <si>
    <t>BINOM.INV(10, 0.5, 0.75)</t>
  </si>
  <si>
    <t>BITAND</t>
  </si>
  <si>
    <t>BITAND(5, 3)</t>
  </si>
  <si>
    <t>BITLSHIFT</t>
  </si>
  <si>
    <t>BITLSHIFT(4, 2)</t>
  </si>
  <si>
    <t>BITOR</t>
  </si>
  <si>
    <t>BITOR(5, 3)</t>
  </si>
  <si>
    <t>BITRSHIFT</t>
  </si>
  <si>
    <t>BITRSHIFT(16, 2)</t>
  </si>
  <si>
    <t>BITXOR</t>
  </si>
  <si>
    <t>BITXOR(5, 3)</t>
  </si>
  <si>
    <t>BYCOL</t>
  </si>
  <si>
    <t>BYCOL({1,2;3,4}, LAMBDA(col, SUM(col)))</t>
  </si>
  <si>
    <t>{4, 6}</t>
  </si>
  <si>
    <t>BYROW</t>
  </si>
  <si>
    <t>BYROW({1,2;3,4}, LAMBDA(row, SUM(row)))</t>
  </si>
  <si>
    <t>3;7</t>
  </si>
  <si>
    <t>CALL</t>
  </si>
  <si>
    <t>CALL()</t>
  </si>
  <si>
    <t>N/A</t>
  </si>
  <si>
    <t>CEILING</t>
  </si>
  <si>
    <t>CEILING(4.3, 1)</t>
  </si>
  <si>
    <t>CEILING.MATH</t>
  </si>
  <si>
    <t>CEILING.MATH(4.3, 1)</t>
  </si>
  <si>
    <t>CEILING.PRECISE</t>
  </si>
  <si>
    <t>CEILING.PRECISE(4.3, 1)</t>
  </si>
  <si>
    <t>CELL</t>
  </si>
  <si>
    <t>CELL("address", A1)</t>
  </si>
  <si>
    <t>CHAR</t>
  </si>
  <si>
    <t>CHAR(65)</t>
  </si>
  <si>
    <t>CHIDIST</t>
  </si>
  <si>
    <t>CHIDIST(4, 2)</t>
  </si>
  <si>
    <t>CHIINV</t>
  </si>
  <si>
    <t>CHIINV(0.05, 2)</t>
  </si>
  <si>
    <t>CHITEST</t>
  </si>
  <si>
    <t>CHITEST({10,20},{15,15})</t>
  </si>
  <si>
    <t>CHISQ.DIST</t>
  </si>
  <si>
    <t>CHISQ.DIST(4, 2, TRUE)</t>
  </si>
  <si>
    <t>CHISQ.DIST.RT</t>
  </si>
  <si>
    <t>CHISQ.DIST.RT(4, 2)</t>
  </si>
  <si>
    <t>CHISQ.INV</t>
  </si>
  <si>
    <t>CHISQ.INV(0.8, 2)</t>
  </si>
  <si>
    <t>CHISQ.INV.RT</t>
  </si>
  <si>
    <t>CHISQ.INV.RT(0.05, 2)</t>
  </si>
  <si>
    <t>CHISQ.TEST</t>
  </si>
  <si>
    <t>CHISQ.TEST({10,20},{15,15})</t>
  </si>
  <si>
    <t>CHOOSE</t>
  </si>
  <si>
    <t>CHOOSE(2, "a", "b", "c")</t>
  </si>
  <si>
    <t>b</t>
  </si>
  <si>
    <t>CHOOSECOLS</t>
  </si>
  <si>
    <t>CHOOSECOLS({1,2,3;4,5,6}, 1, 3)</t>
  </si>
  <si>
    <t>1,3;4,6</t>
  </si>
  <si>
    <t>CHOOSEROWS</t>
  </si>
  <si>
    <t>CHOOSEROWS({1,2,3;4,5,6}, 1, 2)</t>
  </si>
  <si>
    <t>1,2,3;4,5,6</t>
  </si>
  <si>
    <t>CLEAN</t>
  </si>
  <si>
    <t>CLEAN(CHAR(9)&amp;"text")</t>
  </si>
  <si>
    <t>text</t>
  </si>
  <si>
    <t>CODE</t>
  </si>
  <si>
    <t>CODE("A")</t>
  </si>
  <si>
    <t>COLUMN</t>
  </si>
  <si>
    <t>COLUMN(B1)</t>
  </si>
  <si>
    <t>COLUMNS</t>
  </si>
  <si>
    <t>COLUMNS(A1:D1)</t>
  </si>
  <si>
    <t>COMBIN</t>
  </si>
  <si>
    <t>COMBIN(5, 2)</t>
  </si>
  <si>
    <t>COMBINA</t>
  </si>
  <si>
    <t>COMBINA(5, 2)</t>
  </si>
  <si>
    <t>COMPLEX</t>
  </si>
  <si>
    <t>COMPLEX(3, 4)</t>
  </si>
  <si>
    <t>3+4i</t>
  </si>
  <si>
    <t>CONCAT</t>
  </si>
  <si>
    <t>CONCAT("Hello", " ", "World")</t>
  </si>
  <si>
    <t>Hello World</t>
  </si>
  <si>
    <t>CONCATENATE</t>
  </si>
  <si>
    <t>CONCATENATE("A", "B", "C")</t>
  </si>
  <si>
    <t>CONFIDENCE</t>
  </si>
  <si>
    <t>CONFIDENCE(0.05, 1, 50)</t>
  </si>
  <si>
    <t>CONFIDENCE.NORM</t>
  </si>
  <si>
    <t>CONFIDENCE.NORM(0.05, 1, 50)</t>
  </si>
  <si>
    <t>CONFIDENCE.T</t>
  </si>
  <si>
    <t>CONFIDENCE.T(0.05, 1, 50)</t>
  </si>
  <si>
    <t>CONVERT</t>
  </si>
  <si>
    <t>CONVERT(1, "m", "ft")</t>
  </si>
  <si>
    <t>COPILOT</t>
  </si>
  <si>
    <t>COPILOT()</t>
  </si>
  <si>
    <t>CORREL</t>
  </si>
  <si>
    <t>CORREL({1,2,3}, {2,4,6})</t>
  </si>
  <si>
    <t>COS</t>
  </si>
  <si>
    <t>COS(0)</t>
  </si>
  <si>
    <t>COSH</t>
  </si>
  <si>
    <t>COSH(0)</t>
  </si>
  <si>
    <t>COT</t>
  </si>
  <si>
    <t>COT(0.785398)</t>
  </si>
  <si>
    <t>COTH</t>
  </si>
  <si>
    <t>COTH(1)</t>
  </si>
  <si>
    <t>COUNT</t>
  </si>
  <si>
    <t>COUNT(1, 2, "a", 3)</t>
  </si>
  <si>
    <t>COUNTA</t>
  </si>
  <si>
    <t>COUNTA(1, 2, "a", 3)</t>
  </si>
  <si>
    <t>COUNTBLANK</t>
  </si>
  <si>
    <t>COUNTBLANK({1,"",3,""})</t>
  </si>
  <si>
    <t>COUNTIF</t>
  </si>
  <si>
    <t>COUNTIF({1,2,3,2,2}, 2)</t>
  </si>
  <si>
    <t>COUNTIFS</t>
  </si>
  <si>
    <t>COUNTIFS({1,2,3}, "&gt;1", {4,5,6}, "&gt;4")</t>
  </si>
  <si>
    <t>COUPDAYBS</t>
  </si>
  <si>
    <t>COUPDAYBS("2020-03-01", "2020-12-31", 2, 0)</t>
  </si>
  <si>
    <t>COUPDAYS</t>
  </si>
  <si>
    <t>COUPDAYS("2020-03-01", "2020-12-31", 2, 0)</t>
  </si>
  <si>
    <t>COUPDAYSNC</t>
  </si>
  <si>
    <t>COUPDAYSNC("2020-03-01", "2020-12-31", 2, 0)</t>
  </si>
  <si>
    <t>COUPNCD</t>
  </si>
  <si>
    <t>COUPNCD("2020-03-01", "2020-12-31", 2, 0)</t>
  </si>
  <si>
    <t>COUPNUM</t>
  </si>
  <si>
    <t>COUPNUM("2020-03-01", "2020-12-31", 2, 0)</t>
  </si>
  <si>
    <t>COUPPCD</t>
  </si>
  <si>
    <t>COUPPCD("2020-03-01", "2020-12-31", 2, 0)</t>
  </si>
  <si>
    <t>COVAR</t>
  </si>
  <si>
    <t>COVAR({1,2,3}, {4,5,6})</t>
  </si>
  <si>
    <t>COVARIANCE.P</t>
  </si>
  <si>
    <t>COVARIANCE.P({1,2,3}, {4,5,6})</t>
  </si>
  <si>
    <t>COVARIANCE.S</t>
  </si>
  <si>
    <t>COVARIANCE.S({1,2,3,4,5}, {2,4,6,8,10})</t>
  </si>
  <si>
    <t>CRITBINOM</t>
  </si>
  <si>
    <t>CRITBINOM(10, 0.5, 0.75)</t>
  </si>
  <si>
    <t>CSC</t>
  </si>
  <si>
    <t>CSC(PI()/6)</t>
  </si>
  <si>
    <t>CSCH</t>
  </si>
  <si>
    <t>CSCH(1)</t>
  </si>
  <si>
    <t>CUBEKPIMEMBER</t>
  </si>
  <si>
    <t>CUBEKPIMEMBER()</t>
  </si>
  <si>
    <t>CUBEMEMBER</t>
  </si>
  <si>
    <t>CUBEMEMBER()</t>
  </si>
  <si>
    <t>CUBEMEMBERPROPERTY</t>
  </si>
  <si>
    <t>CUBEMEMBERPROPERTY()</t>
  </si>
  <si>
    <t>CUBERANKEDMEMBER</t>
  </si>
  <si>
    <t>CUBERANKEDMEMBER()</t>
  </si>
  <si>
    <t>CUBESET</t>
  </si>
  <si>
    <t>CUBESET()</t>
  </si>
  <si>
    <t>CUBESETCOUNT</t>
  </si>
  <si>
    <t>CUBESETCOUNT()</t>
  </si>
  <si>
    <t>CUBEVALUE</t>
  </si>
  <si>
    <t>CUBEVALUE()</t>
  </si>
  <si>
    <t>CUMIPMT</t>
  </si>
  <si>
    <t>CUMIPMT(0.05/12, 60, 50000, 1, 12, 0)</t>
  </si>
  <si>
    <t>CUMPRINC</t>
  </si>
  <si>
    <t>CUMPRINC(0.05/12, 60, 50000, 1, 12, 0)</t>
  </si>
  <si>
    <t>DATE</t>
  </si>
  <si>
    <t>DATE(2023, 6, 15)</t>
  </si>
  <si>
    <t>DATEDIF</t>
  </si>
  <si>
    <t>DATEDIF("2020-01-01", "2023-06-15", "Y")</t>
  </si>
  <si>
    <t>DATEVALUE</t>
  </si>
  <si>
    <t>DATEVALUE("2023-06-15")</t>
  </si>
  <si>
    <t>DAVERAGE</t>
  </si>
  <si>
    <t>DAVERAGE(A1:C5, "Value", D1:D2)</t>
  </si>
  <si>
    <t>Varies</t>
  </si>
  <si>
    <t>DAY</t>
  </si>
  <si>
    <t>DAY("2023-06-15")</t>
  </si>
  <si>
    <t>DAYS</t>
  </si>
  <si>
    <t>DAYS("2023-12-31", "2023-01-01")</t>
  </si>
  <si>
    <t>DAYS360</t>
  </si>
  <si>
    <t>DAYS360("2023-01-01", "2023-12-31")</t>
  </si>
  <si>
    <t>DB</t>
  </si>
  <si>
    <t>DB(10000, 1000, 5, 1)</t>
  </si>
  <si>
    <t>DBCS</t>
  </si>
  <si>
    <t>DBCS("Test")</t>
  </si>
  <si>
    <t>DCOUNT</t>
  </si>
  <si>
    <t>DCOUNT(A1:C5, "Value", D1:D2)</t>
  </si>
  <si>
    <t>DCOUNTA</t>
  </si>
  <si>
    <t>DCOUNTA(A1:C5, "Value", D1:D2)</t>
  </si>
  <si>
    <t>DDB</t>
  </si>
  <si>
    <t>DDB(10000, 1000, 5, 1)</t>
  </si>
  <si>
    <t>DEC2BIN</t>
  </si>
  <si>
    <t>DEC2BIN(10)</t>
  </si>
  <si>
    <t>DEC2HEX</t>
  </si>
  <si>
    <t>DEC2HEX(255)</t>
  </si>
  <si>
    <t>FF</t>
  </si>
  <si>
    <t>DEC2OCT</t>
  </si>
  <si>
    <t>DEC2OCT(64)</t>
  </si>
  <si>
    <t>DECIMAL</t>
  </si>
  <si>
    <t>DECIMAL("FF", 16)</t>
  </si>
  <si>
    <t>DEGREES</t>
  </si>
  <si>
    <t>DEGREES(PI())</t>
  </si>
  <si>
    <t>DELTA</t>
  </si>
  <si>
    <t>DELTA(5, 5)</t>
  </si>
  <si>
    <t>DETECTLANGUAGE</t>
  </si>
  <si>
    <t>DETECTLANGUAGE("Hello")</t>
  </si>
  <si>
    <t>en</t>
  </si>
  <si>
    <t>DEVSQ</t>
  </si>
  <si>
    <t>DEVSQ(1, 2, 3, 4, 5)</t>
  </si>
  <si>
    <t>DGET</t>
  </si>
  <si>
    <t>DGET(A1:C5, "Value", D1:D2)</t>
  </si>
  <si>
    <t>DISC</t>
  </si>
  <si>
    <t>DISC("2023-01-01", "2023-12-31", 97, 100)</t>
  </si>
  <si>
    <t>DMAX</t>
  </si>
  <si>
    <t>DMAX(A1:C5, "Value", D1:D2)</t>
  </si>
  <si>
    <t>DMIN</t>
  </si>
  <si>
    <t>DMIN(A1:C5, "Value", D1:D2)</t>
  </si>
  <si>
    <t>DOLLAR</t>
  </si>
  <si>
    <t>DOLLAR(1234.567, 2)</t>
  </si>
  <si>
    <t>DOLLARDE</t>
  </si>
  <si>
    <t>DOLLARDE(1.02, 16)</t>
  </si>
  <si>
    <t>DOLLARFR</t>
  </si>
  <si>
    <t>DOLLARFR(1.125, 16)</t>
  </si>
  <si>
    <t>DPRODUCT</t>
  </si>
  <si>
    <t>DPRODUCT(A1:C5, "Value", D1:D2)</t>
  </si>
  <si>
    <t>DROP</t>
  </si>
  <si>
    <t>DROP({1,2,3,4,5}, 2)</t>
  </si>
  <si>
    <t>{3,4,5}</t>
  </si>
  <si>
    <t>DSTDEV</t>
  </si>
  <si>
    <t>DSTDEV(A1:C5, "Value", D1:D2)</t>
  </si>
  <si>
    <t>DSTDEVP</t>
  </si>
  <si>
    <t>DSTDEVP(A1:C5, "Value", D1:D2)</t>
  </si>
  <si>
    <t>DSUM</t>
  </si>
  <si>
    <t>DSUM(A1:C5, "Value", D1:D2)</t>
  </si>
  <si>
    <t>DURATION</t>
  </si>
  <si>
    <t>DURATION("2020-01-01", "2025-01-01", 0.05, 0.06, 2)</t>
  </si>
  <si>
    <t>DVAR</t>
  </si>
  <si>
    <t>DVAR(A1:C5, "Value", D1:D2)</t>
  </si>
  <si>
    <t>DVARP</t>
  </si>
  <si>
    <t>DVARP(A1:C5, "Value", D1:D2)</t>
  </si>
  <si>
    <t>EDATE</t>
  </si>
  <si>
    <t>EDATE("2023-01-15", 3)</t>
  </si>
  <si>
    <t>EFFECT</t>
  </si>
  <si>
    <t>EFFECT(0.1, 4)</t>
  </si>
  <si>
    <t>ENCODEURL</t>
  </si>
  <si>
    <t>ENCODEURL("Hello World")</t>
  </si>
  <si>
    <t>Hello%20World</t>
  </si>
  <si>
    <t>EOMONTH</t>
  </si>
  <si>
    <t>EOMONTH("2023-01-15", 1)</t>
  </si>
  <si>
    <t>ERF</t>
  </si>
  <si>
    <t>ERF(1)</t>
  </si>
  <si>
    <t>ERF.PRECISE</t>
  </si>
  <si>
    <t>ERF.PRECISE(1)</t>
  </si>
  <si>
    <t>ERFC</t>
  </si>
  <si>
    <t>ERFC(1)</t>
  </si>
  <si>
    <t>ERFC.PRECISE</t>
  </si>
  <si>
    <t>ERFC.PRECISE(1)</t>
  </si>
  <si>
    <t>ERROR.TYPE</t>
  </si>
  <si>
    <t>ERROR.TYPE(NA())</t>
  </si>
  <si>
    <t>EUROCONVERT</t>
  </si>
  <si>
    <t>EUROCONVERT(100, "EUR", "DEM")</t>
  </si>
  <si>
    <t>EVEN</t>
  </si>
  <si>
    <t>EVEN(3)</t>
  </si>
  <si>
    <t>EXACT</t>
  </si>
  <si>
    <t>EXACT("Hello", "Hello")</t>
  </si>
  <si>
    <t>EXP</t>
  </si>
  <si>
    <t>EXP(1)</t>
  </si>
  <si>
    <t>EXPAND</t>
  </si>
  <si>
    <t>EXPAND({1,2,3}, 3, 3)</t>
  </si>
  <si>
    <t>{1,2,3;0,0,0;0,0,0}</t>
  </si>
  <si>
    <t>EXPON.DIST</t>
  </si>
  <si>
    <t>EXPON.DIST(1, 0.5, TRUE)</t>
  </si>
  <si>
    <t>EXPONDIST</t>
  </si>
  <si>
    <t>EXPONDIST(1, 0.5, TRUE)</t>
  </si>
  <si>
    <t>FACT</t>
  </si>
  <si>
    <t>FACT(5)</t>
  </si>
  <si>
    <t>FACTDOUBLE</t>
  </si>
  <si>
    <t>FACTDOUBLE(7)</t>
  </si>
  <si>
    <t>FALSE()</t>
  </si>
  <si>
    <t>F.DIST</t>
  </si>
  <si>
    <t>F.DIST(2, 5, 10, TRUE)</t>
  </si>
  <si>
    <t>FDIST</t>
  </si>
  <si>
    <t>FDIST(2, 5, 10)</t>
  </si>
  <si>
    <t>F.DIST.RT</t>
  </si>
  <si>
    <t>F.DIST.RT(2, 5, 10)</t>
  </si>
  <si>
    <t>FILTER</t>
  </si>
  <si>
    <t>FILTER({1,2,3,4,5}, {TRUE,FALSE,TRUE,FALSE,TRUE})</t>
  </si>
  <si>
    <t>{1,3,5}</t>
  </si>
  <si>
    <t>FILTERXML</t>
  </si>
  <si>
    <t>FILTERXML("&lt;root&gt;&lt;a&gt;1&lt;/a&gt;&lt;/root&gt;", "//a")</t>
  </si>
  <si>
    <t>FIND</t>
  </si>
  <si>
    <t>FIND("l", "Hello")</t>
  </si>
  <si>
    <t>FINDB</t>
  </si>
  <si>
    <t>FINDB("l", "Hello")</t>
  </si>
  <si>
    <t>F.INV</t>
  </si>
  <si>
    <t>F.INV(0.9, 5, 10)</t>
  </si>
  <si>
    <t>F.INV.RT</t>
  </si>
  <si>
    <t>F.INV.RT(0.1, 5, 10)</t>
  </si>
  <si>
    <t>FINV</t>
  </si>
  <si>
    <t>FINV(0.1, 5, 10)</t>
  </si>
  <si>
    <t>FISHER</t>
  </si>
  <si>
    <t>FISHER(0.5)</t>
  </si>
  <si>
    <t>FISHERINV</t>
  </si>
  <si>
    <t>FISHERINV(0.5493)</t>
  </si>
  <si>
    <t>FIXED</t>
  </si>
  <si>
    <t>FIXED(1234.567, 2)</t>
  </si>
  <si>
    <t>FLOOR</t>
  </si>
  <si>
    <t>FLOOR(3.7, 1)</t>
  </si>
  <si>
    <t>FLOOR.MATH</t>
  </si>
  <si>
    <t>FLOOR.MATH(-3.2)</t>
  </si>
  <si>
    <t>FLOOR.PRECISE</t>
  </si>
  <si>
    <t>FLOOR.PRECISE(3.7, 2)</t>
  </si>
  <si>
    <t>FORECAST</t>
  </si>
  <si>
    <t>FORECAST(6, {2,4,6,8,10}, {1,2,3,4,5})</t>
  </si>
  <si>
    <t>FORECAST.ETS</t>
  </si>
  <si>
    <t>FORECAST.ETS(6, {2,4,6,8,10}, {1,2,3,4,5})</t>
  </si>
  <si>
    <t>FORECAST.ETS.CONFINT</t>
  </si>
  <si>
    <t>FORECAST.ETS.CONFINT(6, {2,4,6,8,10}, {1,2,3,4,5})</t>
  </si>
  <si>
    <t>FORECAST.ETS.SEASONALITY</t>
  </si>
  <si>
    <t>FORECAST.ETS.SEASONALITY({2,4,6,8,10}, {1,2,3,4,5})</t>
  </si>
  <si>
    <t>FORECAST.ETS.STAT</t>
  </si>
  <si>
    <t>FORECAST.ETS.STAT({2,4,6,8,10}, {1,2,3,4,5})</t>
  </si>
  <si>
    <t>FORECAST.LINEAR</t>
  </si>
  <si>
    <t>FORECAST.LINEAR(6, {2,4,6,8,10}, {1,2,3,4,5})</t>
  </si>
  <si>
    <t>FORMULATEXT</t>
  </si>
  <si>
    <t>FORMULATEXT(A1)</t>
  </si>
  <si>
    <t>FREQUENCY</t>
  </si>
  <si>
    <t>FREQUENCY({1,2,3,4,5}, {2,4})</t>
  </si>
  <si>
    <t>{2,2,1}</t>
  </si>
  <si>
    <t>F.TEST</t>
  </si>
  <si>
    <t>F.TEST({1,2,3}, {4,5,6})</t>
  </si>
  <si>
    <t>FTEST</t>
  </si>
  <si>
    <t>FTEST({1,2,3}, {4,5,6})</t>
  </si>
  <si>
    <t>FV</t>
  </si>
  <si>
    <t>FV(0.05, 10, -100)</t>
  </si>
  <si>
    <t>FVSCHEDULE</t>
  </si>
  <si>
    <t>FVSCHEDULE(1000, {0.05, 0.06, 0.07})</t>
  </si>
  <si>
    <t>GAMMA</t>
  </si>
  <si>
    <t>GAMMA(5)</t>
  </si>
  <si>
    <t>GAMMA.DIST</t>
  </si>
  <si>
    <t>GAMMA.DIST(2, 3, 2, TRUE)</t>
  </si>
  <si>
    <t>GAMMADIST</t>
  </si>
  <si>
    <t>GAMMADIST(2, 3, 2, TRUE)</t>
  </si>
  <si>
    <t>GAMMA.INV</t>
  </si>
  <si>
    <t>GAMMA.INV(0.5, 3, 2)</t>
  </si>
  <si>
    <t>GAMMAINV</t>
  </si>
  <si>
    <t>GAMMAINV(0.5, 3, 2)</t>
  </si>
  <si>
    <t>GAMMALN</t>
  </si>
  <si>
    <t>GAMMALN(4)</t>
  </si>
  <si>
    <t>GAMMALN.PRECISE</t>
  </si>
  <si>
    <t>GAMMALN.PRECISE(4)</t>
  </si>
  <si>
    <t>GAUSS</t>
  </si>
  <si>
    <t>GAUSS(1)</t>
  </si>
  <si>
    <t>GCD</t>
  </si>
  <si>
    <t>GCD(12, 18)</t>
  </si>
  <si>
    <t>GEOMEAN</t>
  </si>
  <si>
    <t>GEOMEAN(2, 8)</t>
  </si>
  <si>
    <t>GESTEP</t>
  </si>
  <si>
    <t>GESTEP(5, 3)</t>
  </si>
  <si>
    <t>GETPIVOTDATA</t>
  </si>
  <si>
    <t>GETPIVOTDATA("Sales", A1)</t>
  </si>
  <si>
    <t>#REF!</t>
  </si>
  <si>
    <t>GROUPBY</t>
  </si>
  <si>
    <t>GROUPBY({1;1;2}, {"A";"B";"C"}, SUM)</t>
  </si>
  <si>
    <t>{"A","B";"C",""}</t>
  </si>
  <si>
    <t>GROWTH</t>
  </si>
  <si>
    <t>GROWTH({1,2,4}, {1,2,3}, {4})</t>
  </si>
  <si>
    <t>HARMEAN</t>
  </si>
  <si>
    <t>HARMEAN(2, 4)</t>
  </si>
  <si>
    <t>HEX2BIN</t>
  </si>
  <si>
    <t>HEX2BIN("F")</t>
  </si>
  <si>
    <t>HEX2DEC</t>
  </si>
  <si>
    <t>HEX2DEC("FF")</t>
  </si>
  <si>
    <t>HEX2OCT</t>
  </si>
  <si>
    <t>HEX2OCT("F")</t>
  </si>
  <si>
    <t>HLOOKUP</t>
  </si>
  <si>
    <t>HLOOKUP(2, {1,2,3;4,5,6}, 2, FALSE)</t>
  </si>
  <si>
    <t>HOUR</t>
  </si>
  <si>
    <t>HOUR("12:30:00")</t>
  </si>
  <si>
    <t>HSTACK</t>
  </si>
  <si>
    <t>HSTACK({1,2}, {3,4})</t>
  </si>
  <si>
    <t>{1,2,3,4}</t>
  </si>
  <si>
    <t>HYPERLINK</t>
  </si>
  <si>
    <t>HYPERLINK("http://example.com", "Link")</t>
  </si>
  <si>
    <t>Link</t>
  </si>
  <si>
    <t>HYPGEOM.DIST</t>
  </si>
  <si>
    <t>HYPGEOM.DIST(1, 4, 8, 20, FALSE)</t>
  </si>
  <si>
    <t>HYPGEOMDIST</t>
  </si>
  <si>
    <t>HYPGEOMDIST(1, 4, 8, 20)</t>
  </si>
  <si>
    <t>IF</t>
  </si>
  <si>
    <t>IF(TRUE, "Yes", "No")</t>
  </si>
  <si>
    <t>Yes</t>
  </si>
  <si>
    <t>IFERROR</t>
  </si>
  <si>
    <t>IFERROR(1/0, "Error")</t>
  </si>
  <si>
    <t>Error</t>
  </si>
  <si>
    <t>IFNA</t>
  </si>
  <si>
    <t>IFNA(NA(), "N/A")</t>
  </si>
  <si>
    <t>IFS</t>
  </si>
  <si>
    <t>IFS(FALSE, 1, TRUE, 2)</t>
  </si>
  <si>
    <t>IMABS</t>
  </si>
  <si>
    <t>IMABS("3+4i")</t>
  </si>
  <si>
    <t>IMAGE</t>
  </si>
  <si>
    <t>IMAGE("https://example.com/img.png")</t>
  </si>
  <si>
    <t>#ERROR</t>
  </si>
  <si>
    <t>IMAGINARY</t>
  </si>
  <si>
    <t>IMAGINARY("3+4i")</t>
  </si>
  <si>
    <t>IMARGUMENT</t>
  </si>
  <si>
    <t>IMARGUMENT("3+4i")</t>
  </si>
  <si>
    <t>IMCONJUGATE</t>
  </si>
  <si>
    <t>IMCONJUGATE("3+4i")</t>
  </si>
  <si>
    <t>3-4i</t>
  </si>
  <si>
    <t>IMCOS</t>
  </si>
  <si>
    <t>IMCOS("1+i")</t>
  </si>
  <si>
    <t>0.8337-0.9889i</t>
  </si>
  <si>
    <t>IMCOSH</t>
  </si>
  <si>
    <t>IMCOSH("1+i")</t>
  </si>
  <si>
    <t>0.8337+0.9889i</t>
  </si>
  <si>
    <t>IMCOT</t>
  </si>
  <si>
    <t>IMCOT("1+i")</t>
  </si>
  <si>
    <t>0.2176-0.8680i</t>
  </si>
  <si>
    <t>IMCSC</t>
  </si>
  <si>
    <t>IMCSC("1+i")</t>
  </si>
  <si>
    <t>0.6215-0.3039i</t>
  </si>
  <si>
    <t>IMCSCH</t>
  </si>
  <si>
    <t>IMCSCH("1+i")</t>
  </si>
  <si>
    <t>0.3039-0.6215i</t>
  </si>
  <si>
    <t>IMDIV</t>
  </si>
  <si>
    <t>IMDIV("10+10i", "2+2i")</t>
  </si>
  <si>
    <t>IMEXP</t>
  </si>
  <si>
    <t>IMEXP("1+i")</t>
  </si>
  <si>
    <t>1.4687+2.2874i</t>
  </si>
  <si>
    <t>IMLN</t>
  </si>
  <si>
    <t>IMLN("2.7183")</t>
  </si>
  <si>
    <t>IMLOG10</t>
  </si>
  <si>
    <t>IMLOG10("100")</t>
  </si>
  <si>
    <t>IMLOG2</t>
  </si>
  <si>
    <t>IMLOG2("8")</t>
  </si>
  <si>
    <t>IMPOWER</t>
  </si>
  <si>
    <t>IMPOWER("2+i", 2)</t>
  </si>
  <si>
    <t>IMPRODUCT</t>
  </si>
  <si>
    <t>IMPRODUCT("1+2i", "3+4i")</t>
  </si>
  <si>
    <t>-5+10i</t>
  </si>
  <si>
    <t>IMREAL</t>
  </si>
  <si>
    <t>IMREAL("3+4i")</t>
  </si>
  <si>
    <t>IMSEC</t>
  </si>
  <si>
    <t>IMSEC("1+i")</t>
  </si>
  <si>
    <t>0.4983+0.5911i</t>
  </si>
  <si>
    <t>IMSECH</t>
  </si>
  <si>
    <t>IMSECH("1+i")</t>
  </si>
  <si>
    <t>0.4983-0.5911i</t>
  </si>
  <si>
    <t>IMSIN</t>
  </si>
  <si>
    <t>IMSIN("1+i")</t>
  </si>
  <si>
    <t>1.2985+0.6350i</t>
  </si>
  <si>
    <t>IMSINH</t>
  </si>
  <si>
    <t>IMSINH("1+i")</t>
  </si>
  <si>
    <t>0.6350+1.2985i</t>
  </si>
  <si>
    <t>IMSQRT</t>
  </si>
  <si>
    <t>IMSQRT("4")</t>
  </si>
  <si>
    <t>IMSUB</t>
  </si>
  <si>
    <t>IMSUB("5+3i", "2+i")</t>
  </si>
  <si>
    <t>3+2i</t>
  </si>
  <si>
    <t>IMSUM</t>
  </si>
  <si>
    <t>IMSUM("1+2i", "3+4i")</t>
  </si>
  <si>
    <t>4+6i</t>
  </si>
  <si>
    <t>IMTAN</t>
  </si>
  <si>
    <t>IMTAN("1+i")</t>
  </si>
  <si>
    <t>0.2718+1.0839i</t>
  </si>
  <si>
    <t>INDEX</t>
  </si>
  <si>
    <t>INDEX({1,2,3}, 1, 2)</t>
  </si>
  <si>
    <t>INDIRECT</t>
  </si>
  <si>
    <t>INDIRECT("A1")</t>
  </si>
  <si>
    <t>INFO</t>
  </si>
  <si>
    <t>INFO("version")</t>
  </si>
  <si>
    <t>#N/A</t>
  </si>
  <si>
    <t>INT</t>
  </si>
  <si>
    <t>INT(5.7)</t>
  </si>
  <si>
    <t>INTERCEPT</t>
  </si>
  <si>
    <t>INTERCEPT({2,4,6}, {1,2,3})</t>
  </si>
  <si>
    <t>INTRATE</t>
  </si>
  <si>
    <t>INTRATE("2020-01-01", "2020-12-31", 1000, 1050, 0)</t>
  </si>
  <si>
    <t>IPMT</t>
  </si>
  <si>
    <t>IPMT(0.1/12, 1, 12, 1000)</t>
  </si>
  <si>
    <t>IRR</t>
  </si>
  <si>
    <t>IRR({-1000, 300, 400, 500})</t>
  </si>
  <si>
    <t>ISBLANK</t>
  </si>
  <si>
    <t>ISBLANK("")</t>
  </si>
  <si>
    <t>ISERR</t>
  </si>
  <si>
    <t>ISERR(1/0)</t>
  </si>
  <si>
    <t>ISERROR</t>
  </si>
  <si>
    <t>ISERROR(1/0)</t>
  </si>
  <si>
    <t>ISEVEN</t>
  </si>
  <si>
    <t>ISEVEN(4)</t>
  </si>
  <si>
    <t>ISFORMULA</t>
  </si>
  <si>
    <t>ISFORMULA(A1)</t>
  </si>
  <si>
    <t>ISLOGICAL</t>
  </si>
  <si>
    <t>ISLOGICAL(TRUE)</t>
  </si>
  <si>
    <t>ISNA</t>
  </si>
  <si>
    <t>ISNA(NA())</t>
  </si>
  <si>
    <t>ISNONTEXT</t>
  </si>
  <si>
    <t>ISNONTEXT(123)</t>
  </si>
  <si>
    <t>ISNUMBER</t>
  </si>
  <si>
    <t>ISNUMBER(123)</t>
  </si>
  <si>
    <t>ISODD</t>
  </si>
  <si>
    <t>ISODD(5)</t>
  </si>
  <si>
    <t>ISOMITTED</t>
  </si>
  <si>
    <t>ISOMITTED(1)</t>
  </si>
  <si>
    <t>ISREF</t>
  </si>
  <si>
    <t>ISREF(A1)</t>
  </si>
  <si>
    <t>ISTEXT</t>
  </si>
  <si>
    <t>ISTEXT("hello")</t>
  </si>
  <si>
    <t>ISO.CEILING</t>
  </si>
  <si>
    <t>ISO.CEILING(4.3)</t>
  </si>
  <si>
    <t>ISOWEEKNUM</t>
  </si>
  <si>
    <t>ISOWEEKNUM("2020-01-01")</t>
  </si>
  <si>
    <t>ISPMT</t>
  </si>
  <si>
    <t>ISPMT(0.1, 1, 12, 1000)</t>
  </si>
  <si>
    <t>JIS</t>
  </si>
  <si>
    <t>JIS("abc")</t>
  </si>
  <si>
    <t>abc</t>
  </si>
  <si>
    <t>KURT</t>
  </si>
  <si>
    <t>KURT(1,2,3,4,5,6,7,8)</t>
  </si>
  <si>
    <t>LAMBDA</t>
  </si>
  <si>
    <t>LAMBDA(x, x+1)(5)</t>
  </si>
  <si>
    <t>LARGE</t>
  </si>
  <si>
    <t>LARGE({1,2,3,4,5}, 2)</t>
  </si>
  <si>
    <t>LCM</t>
  </si>
  <si>
    <t>LCM(4, 6)</t>
  </si>
  <si>
    <t>LEFT</t>
  </si>
  <si>
    <t>LEFT("Hello", 2)</t>
  </si>
  <si>
    <t>He</t>
  </si>
  <si>
    <t>LEFTB</t>
  </si>
  <si>
    <t>LEFTB("Hello", 2)</t>
  </si>
  <si>
    <t>LEN</t>
  </si>
  <si>
    <t>LEN("Hello")</t>
  </si>
  <si>
    <t>LENB</t>
  </si>
  <si>
    <t>LENB("Hello")</t>
  </si>
  <si>
    <t>LET</t>
  </si>
  <si>
    <t>LET(x, 5, x*2)</t>
  </si>
  <si>
    <t>LINEST</t>
  </si>
  <si>
    <t>LINEST({1,2,3}, {1,2,3})</t>
  </si>
  <si>
    <t>{1,0}</t>
  </si>
  <si>
    <t>LN</t>
  </si>
  <si>
    <t>LN(2.7183)</t>
  </si>
  <si>
    <t>LOG</t>
  </si>
  <si>
    <t>LOG(100, 10)</t>
  </si>
  <si>
    <t>LOG10</t>
  </si>
  <si>
    <t>LOG10(100)</t>
  </si>
  <si>
    <t>LOGEST</t>
  </si>
  <si>
    <t>LOGEST({1,2,4}, {1,2,3})</t>
  </si>
  <si>
    <t>{2,0.5}</t>
  </si>
  <si>
    <t>LOGINV</t>
  </si>
  <si>
    <t>LOGINV(0.5, 0, 1)</t>
  </si>
  <si>
    <t>LOGNORM.DIST</t>
  </si>
  <si>
    <t>LOGNORM.DIST(1, 0, 1, TRUE)</t>
  </si>
  <si>
    <t>LOGNORMDIST</t>
  </si>
  <si>
    <t>LOGNORMDIST(1, 0, 1)</t>
  </si>
  <si>
    <t>LOGNORM.INV</t>
  </si>
  <si>
    <t>LOGNORM.INV(0.5, 0, 1)</t>
  </si>
  <si>
    <t>LOOKUP</t>
  </si>
  <si>
    <t>LOOKUP(2, {1,2,3}, {"a","b","c"})</t>
  </si>
  <si>
    <t>LOWER</t>
  </si>
  <si>
    <t>LOWER("HELLO")</t>
  </si>
  <si>
    <t>hello</t>
  </si>
  <si>
    <t>MAKEARRAY</t>
  </si>
  <si>
    <t>MAKEARRAY(2, 2, LAMBDA(r,c,r+c))</t>
  </si>
  <si>
    <t>{2,3;3,4}</t>
  </si>
  <si>
    <t>MAP</t>
  </si>
  <si>
    <t>MAP({1,2,3}, LAMBDA(x, x*2))</t>
  </si>
  <si>
    <t>{2,4,6}</t>
  </si>
  <si>
    <t>MATCH</t>
  </si>
  <si>
    <t>MATCH(2, {1,2,3}, 0)</t>
  </si>
  <si>
    <t>MAX</t>
  </si>
  <si>
    <t>MAX(1, 5, 3)</t>
  </si>
  <si>
    <t>MAXA</t>
  </si>
  <si>
    <t>MAXA(1, 5, 3, TRUE)</t>
  </si>
  <si>
    <t>MAXIFS</t>
  </si>
  <si>
    <t>MAXIFS({1,2,3,4}, {1,1,2,2}, 1)</t>
  </si>
  <si>
    <t>MDETERM</t>
  </si>
  <si>
    <t>MDETERM({1,2;3,4})</t>
  </si>
  <si>
    <t>MDURATION</t>
  </si>
  <si>
    <t>MDURATION("2020-01-01", "2025-01-01", 0.05, 0.04, 2)</t>
  </si>
  <si>
    <t>MEDIAN</t>
  </si>
  <si>
    <t>MEDIAN(1,2,3,4,5)</t>
  </si>
  <si>
    <t>MID</t>
  </si>
  <si>
    <t>MID("Hello", 2, 3)</t>
  </si>
  <si>
    <t>ell</t>
  </si>
  <si>
    <t>MIDB</t>
  </si>
  <si>
    <t>MIDB("Hello", 2, 3)</t>
  </si>
  <si>
    <t>MIN</t>
  </si>
  <si>
    <t>MIN(1,2,3,4,5)</t>
  </si>
  <si>
    <t>MINIFS</t>
  </si>
  <si>
    <t>MINIFS({1,2,3,4}, {1,1,2,2}, 1)</t>
  </si>
  <si>
    <t>MINA</t>
  </si>
  <si>
    <t>MINA(1,2,3,TRUE,FALSE)</t>
  </si>
  <si>
    <t>MINUTE</t>
  </si>
  <si>
    <t>MINUTE("12:30:45")</t>
  </si>
  <si>
    <t>MINVERSE</t>
  </si>
  <si>
    <t>MINVERSE({4,-2;-1,1})</t>
  </si>
  <si>
    <t>{0.5,1;0.5,2}</t>
  </si>
  <si>
    <t>MIRR</t>
  </si>
  <si>
    <t>MIRR({-100,30,40,50}, 0.1, 0.12)</t>
  </si>
  <si>
    <t>MMULT</t>
  </si>
  <si>
    <t>MMULT({1,2;3,4}, {5;6})</t>
  </si>
  <si>
    <t>{17;39}</t>
  </si>
  <si>
    <t>MOD</t>
  </si>
  <si>
    <t>MOD(10, 3)</t>
  </si>
  <si>
    <t>MODE</t>
  </si>
  <si>
    <t>MODE(1,2,2,3,3,3)</t>
  </si>
  <si>
    <t>MODE.MULT</t>
  </si>
  <si>
    <t>MODE.MULT({1,2,2,3,3})</t>
  </si>
  <si>
    <t>{2;3}</t>
  </si>
  <si>
    <t>MODE.SNGL</t>
  </si>
  <si>
    <t>MODE.SNGL(1,2,2,3,3,3)</t>
  </si>
  <si>
    <t>MONTH</t>
  </si>
  <si>
    <t>MONTH("2020-06-15")</t>
  </si>
  <si>
    <t>MROUND</t>
  </si>
  <si>
    <t>MROUND(10, 3)</t>
  </si>
  <si>
    <t>MULTINOMIAL</t>
  </si>
  <si>
    <t>MULTINOMIAL(2, 3, 4)</t>
  </si>
  <si>
    <t>MUNIT</t>
  </si>
  <si>
    <t>MUNIT(3)</t>
  </si>
  <si>
    <t>{1,0,0;0,1,0;0,0,1}</t>
  </si>
  <si>
    <t>N</t>
  </si>
  <si>
    <t>N(TRUE)</t>
  </si>
  <si>
    <t>NA</t>
  </si>
  <si>
    <t>NA()</t>
  </si>
  <si>
    <t>NEGBINOM.DIST</t>
  </si>
  <si>
    <t>NEGBINOM.DIST(5, 10, 0.5, FALSE)</t>
  </si>
  <si>
    <t>NEGBINOMDIST</t>
  </si>
  <si>
    <t>NEGBINOMDIST(5, 10, 0.5)</t>
  </si>
  <si>
    <t>NETWORKDAYS</t>
  </si>
  <si>
    <t>NETWORKDAYS("2020-01-01", "2020-01-31")</t>
  </si>
  <si>
    <t>NETWORKDAYS.INTL</t>
  </si>
  <si>
    <t>NETWORKDAYS.INTL("2020-01-01", "2020-01-31", 1)</t>
  </si>
  <si>
    <t>NOMINAL</t>
  </si>
  <si>
    <t>NOMINAL(0.05, 4)</t>
  </si>
  <si>
    <t>NORM.DIST</t>
  </si>
  <si>
    <t>NORM.DIST(1, 0, 1, TRUE)</t>
  </si>
  <si>
    <t>NORMDIST</t>
  </si>
  <si>
    <t>NORMDIST(1, 0, 1, TRUE)</t>
  </si>
  <si>
    <t>NORMINV</t>
  </si>
  <si>
    <t>NORMINV(0.5, 0, 1)</t>
  </si>
  <si>
    <t>NORM.INV</t>
  </si>
  <si>
    <t>NORM.INV(0.5, 0, 1)</t>
  </si>
  <si>
    <t>NORM.S.DIST</t>
  </si>
  <si>
    <t>NORM.S.DIST(1, TRUE)</t>
  </si>
  <si>
    <t>NORMSDIST</t>
  </si>
  <si>
    <t>NORMSDIST(1)</t>
  </si>
  <si>
    <t>NORM.S.INV</t>
  </si>
  <si>
    <t>NORM.S.INV(0.5)</t>
  </si>
  <si>
    <t>NORMSINV</t>
  </si>
  <si>
    <t>NORMSINV(0.5)</t>
  </si>
  <si>
    <t>NOT</t>
  </si>
  <si>
    <t>NOT(TRUE)</t>
  </si>
  <si>
    <t>NOW</t>
  </si>
  <si>
    <t>NOW()</t>
  </si>
  <si>
    <t>Dynamic</t>
  </si>
  <si>
    <t>NPER</t>
  </si>
  <si>
    <t>NPER(0.05, -100, 1000)</t>
  </si>
  <si>
    <t>NPV</t>
  </si>
  <si>
    <t>NPV(0.1, 100, 200, 300)</t>
  </si>
  <si>
    <t>NUMBERVALUE</t>
  </si>
  <si>
    <t>NUMBERVALUE("1,234.56", ".", ",")</t>
  </si>
  <si>
    <t>OCT2BIN</t>
  </si>
  <si>
    <t>OCT2BIN(7)</t>
  </si>
  <si>
    <t>OCT2DEC</t>
  </si>
  <si>
    <t>OCT2DEC(17)</t>
  </si>
  <si>
    <t>OCT2HEX</t>
  </si>
  <si>
    <t>OCT2HEX(17)</t>
  </si>
  <si>
    <t>F</t>
  </si>
  <si>
    <t>ODD</t>
  </si>
  <si>
    <t>ODD(2)</t>
  </si>
  <si>
    <t>ODDFPRICE</t>
  </si>
  <si>
    <t>ODDFPRICE("2020-01-01", "2025-01-01", "2019-06-01", "2020-06-01", 0.05, 0.04, 100, 2)</t>
  </si>
  <si>
    <t>ODDFYIELD</t>
  </si>
  <si>
    <t>ODDFYIELD("2020-01-01", "2025-01-01", "2019-06-01", "2020-06-01", 0.05, 100, 100, 2)</t>
  </si>
  <si>
    <t>ODDLPRICE</t>
  </si>
  <si>
    <t>ODDLPRICE("2020-01-01", "2020-12-31", "2019-06-01", 0.05, 0.04, 100, 2)</t>
  </si>
  <si>
    <t>ODDLYIELD</t>
  </si>
  <si>
    <t>ODDLYIELD("2020-01-01", "2020-12-31", "2019-06-01", 0.05, 100, 100, 2)</t>
  </si>
  <si>
    <t>OFFSET</t>
  </si>
  <si>
    <t>OFFSET(A1, 1, 1)</t>
  </si>
  <si>
    <t>Reference</t>
  </si>
  <si>
    <t>OR</t>
  </si>
  <si>
    <t>OR(TRUE, FALSE)</t>
  </si>
  <si>
    <t>PDURATION</t>
  </si>
  <si>
    <t>PDURATION(0.05, 1000, 2000)</t>
  </si>
  <si>
    <t>PEARSON</t>
  </si>
  <si>
    <t>PEARSON({1,2,3}, {4,5,6})</t>
  </si>
  <si>
    <t>PERCENTILE.EXC</t>
  </si>
  <si>
    <t>PERCENTILE.EXC({1,2,3,4,5}, 0.5)</t>
  </si>
  <si>
    <t>PERCENTILE.INC</t>
  </si>
  <si>
    <t>PERCENTILE.INC({1,2,3,4,5}, 0.5)</t>
  </si>
  <si>
    <t>PERCENTILE</t>
  </si>
  <si>
    <t>PERCENTILE({1,2,3,4,5}, 0.5)</t>
  </si>
  <si>
    <t>PERCENTOF</t>
  </si>
  <si>
    <t>PERCENTOF(50, {10,20,30,40,50})</t>
  </si>
  <si>
    <t>PERCENTRANK.EXC</t>
  </si>
  <si>
    <t>PERCENTRANK.EXC({1,2,3,4,5}, 3)</t>
  </si>
  <si>
    <t>PERCENTRANK.INC</t>
  </si>
  <si>
    <t>PERCENTRANK.INC({1,2,3,4,5}, 3)</t>
  </si>
  <si>
    <t>PERCENTRANK</t>
  </si>
  <si>
    <t>PERCENTRANK({1,2,3,4,5}, 3)</t>
  </si>
  <si>
    <t>PERMUT</t>
  </si>
  <si>
    <t>PERMUT(5, 3)</t>
  </si>
  <si>
    <t>PERMUTATIONA</t>
  </si>
  <si>
    <t>PERMUTATIONA(5, 3)</t>
  </si>
  <si>
    <t>PHI</t>
  </si>
  <si>
    <t>PHI(1)</t>
  </si>
  <si>
    <t>PHONETIC</t>
  </si>
  <si>
    <t>PHONETIC("Text")</t>
  </si>
  <si>
    <t>Text</t>
  </si>
  <si>
    <t>PI</t>
  </si>
  <si>
    <t>PI()</t>
  </si>
  <si>
    <t>PIVOTBY</t>
  </si>
  <si>
    <t>PIVOTBY({1,2,1,2}, {"A","A","B","B"}, {10,20,30,40}, SUM)</t>
  </si>
  <si>
    <t>Array</t>
  </si>
  <si>
    <t>PMT</t>
  </si>
  <si>
    <t>PMT(0.05/12, 60, 10000)</t>
  </si>
  <si>
    <t>POISSON.DIST</t>
  </si>
  <si>
    <t>POISSON.DIST(2, 5, FALSE)</t>
  </si>
  <si>
    <t>POISSON</t>
  </si>
  <si>
    <t>POISSON(2, 5, FALSE)</t>
  </si>
  <si>
    <t>POWER</t>
  </si>
  <si>
    <t>POWER(2, 3)</t>
  </si>
  <si>
    <t>PPMT</t>
  </si>
  <si>
    <t>PPMT(0.05/12, 1, 60, 10000)</t>
  </si>
  <si>
    <t>PRICE</t>
  </si>
  <si>
    <t>PRICE("2020-01-01", "2025-01-01", 0.05, 0.04, 100, 2)</t>
  </si>
  <si>
    <t>PRICEDISC</t>
  </si>
  <si>
    <t>PRICEDISC("2020-01-01", "2020-12-31", 0.05, 100)</t>
  </si>
  <si>
    <t>PRICEMAT</t>
  </si>
  <si>
    <t>PRICEMAT("2020-01-01", "2020-12-31", "2019-01-01", 0.05, 0.04)</t>
  </si>
  <si>
    <t>PROB</t>
  </si>
  <si>
    <t>PROB({1,2,3}, {0.2,0.3,0.5}, 2)</t>
  </si>
  <si>
    <t>PRODUCT</t>
  </si>
  <si>
    <t>PRODUCT(1,2,3,4,5)</t>
  </si>
  <si>
    <t>PROPER</t>
  </si>
  <si>
    <t>PROPER("hello world")</t>
  </si>
  <si>
    <t>PV</t>
  </si>
  <si>
    <t>PV(0.05, 10, -100)</t>
  </si>
  <si>
    <t>QUARTILE</t>
  </si>
  <si>
    <t>QUARTILE({1,2,3,4,5}, 2)</t>
  </si>
  <si>
    <t>QUARTILE.EXC</t>
  </si>
  <si>
    <t>QUARTILE.EXC({1,2,3,4,5,6,7,8}, 2)</t>
  </si>
  <si>
    <t>QUARTILE.INC</t>
  </si>
  <si>
    <t>QUARTILE.INC({1,2,3,4,5}, 2)</t>
  </si>
  <si>
    <t>QUOTIENT</t>
  </si>
  <si>
    <t>QUOTIENT(10, 3)</t>
  </si>
  <si>
    <t>RADIANS</t>
  </si>
  <si>
    <t>RADIANS(180)</t>
  </si>
  <si>
    <t>RAND</t>
  </si>
  <si>
    <t>RAND()</t>
  </si>
  <si>
    <t>0-1</t>
  </si>
  <si>
    <t>RANDARRAY</t>
  </si>
  <si>
    <t>RANDARRAY(2, 2)</t>
  </si>
  <si>
    <t>2x2 Array</t>
  </si>
  <si>
    <t>RANDBETWEEN</t>
  </si>
  <si>
    <t>RANDBETWEEN(1, 100)</t>
  </si>
  <si>
    <t>1-100</t>
  </si>
  <si>
    <t>RANK.AVG</t>
  </si>
  <si>
    <t>RANK.AVG(3, {1,2,3,4,5})</t>
  </si>
  <si>
    <t>RANK.EQ</t>
  </si>
  <si>
    <t>RANK.EQ(3, {1,2,3,4,5})</t>
  </si>
  <si>
    <t>RANK</t>
  </si>
  <si>
    <t>RANK(3, {1,2,3,4,5})</t>
  </si>
  <si>
    <t>RATE</t>
  </si>
  <si>
    <t>RATE(60, -100, 5000)</t>
  </si>
  <si>
    <t>RECEIVED</t>
  </si>
  <si>
    <t>RECEIVED("2020-01-01", "2020-12-31", 1000, 0.05)</t>
  </si>
  <si>
    <t>REDUCE</t>
  </si>
  <si>
    <t>REDUCE(0, {1,2,3}, LAMBDA(a,b,a+b))</t>
  </si>
  <si>
    <t>REGEXEXTRACT</t>
  </si>
  <si>
    <t>REGEXEXTRACT("hello123", "[0-9]+")</t>
  </si>
  <si>
    <t>REGEXREPLACE</t>
  </si>
  <si>
    <t>REGEXREPLACE("hello123", "[0-9]+", "456")</t>
  </si>
  <si>
    <t>hello456</t>
  </si>
  <si>
    <t>REGEXTEST</t>
  </si>
  <si>
    <t>REGEXTEST("hello123", "[0-9]+")</t>
  </si>
  <si>
    <t>REGISTER.ID</t>
  </si>
  <si>
    <t>REGISTER.ID()</t>
  </si>
  <si>
    <t>REPLACE</t>
  </si>
  <si>
    <t>REPLACE("Hello", 2, 3, "XYZ")</t>
  </si>
  <si>
    <t>HXYZo</t>
  </si>
  <si>
    <t>REPLACEB</t>
  </si>
  <si>
    <t>REPLACEB("Hello", 2, 3, "XYZ")</t>
  </si>
  <si>
    <t>REPT</t>
  </si>
  <si>
    <t>REPT("ab", 3)</t>
  </si>
  <si>
    <t>ababab</t>
  </si>
  <si>
    <t>RIGHT</t>
  </si>
  <si>
    <t>RIGHT("Hello", 2)</t>
  </si>
  <si>
    <t>lo</t>
  </si>
  <si>
    <t>RIGHTB</t>
  </si>
  <si>
    <t>RIGHTB("Hello", 2)</t>
  </si>
  <si>
    <t>ROMAN</t>
  </si>
  <si>
    <t>ROMAN(5)</t>
  </si>
  <si>
    <t>V</t>
  </si>
  <si>
    <t>ROUND</t>
  </si>
  <si>
    <t>ROUND(2.567, 2)</t>
  </si>
  <si>
    <t>ROUNDDOWN</t>
  </si>
  <si>
    <t>ROUNDDOWN(2.567, 2)</t>
  </si>
  <si>
    <t>ROUNDUP</t>
  </si>
  <si>
    <t>ROUNDUP(2.561, 2)</t>
  </si>
  <si>
    <t>ROW</t>
  </si>
  <si>
    <t>ROW(A1)</t>
  </si>
  <si>
    <t>ROWS</t>
  </si>
  <si>
    <t>ROWS(A1:A5)</t>
  </si>
  <si>
    <t>RRI</t>
  </si>
  <si>
    <t>RRI(5, 1000, 1500)</t>
  </si>
  <si>
    <t>RSQ</t>
  </si>
  <si>
    <t>RSQ({1,2,3}, {2,4,6})</t>
  </si>
  <si>
    <t>RTD</t>
  </si>
  <si>
    <t>RTD()</t>
  </si>
  <si>
    <t>SCAN</t>
  </si>
  <si>
    <t>SCAN(0, {1,2,3}, LAMBDA(a,b,a+b))</t>
  </si>
  <si>
    <t>{1,3,6}</t>
  </si>
  <si>
    <t>SEARCH</t>
  </si>
  <si>
    <t>SEARCH("l", "Hello")</t>
  </si>
  <si>
    <t>SEARCHB</t>
  </si>
  <si>
    <t>SEARCHB("l", "Hello")</t>
  </si>
  <si>
    <t>SEC</t>
  </si>
  <si>
    <t>SEC(0)</t>
  </si>
  <si>
    <t>SECH</t>
  </si>
  <si>
    <t>SECH(0)</t>
  </si>
  <si>
    <t>SECOND</t>
  </si>
  <si>
    <t>SECOND("12:30:45")</t>
  </si>
  <si>
    <t>SEQUENCE</t>
  </si>
  <si>
    <t>SEQUENCE(3)</t>
  </si>
  <si>
    <t>{1;2;3}</t>
  </si>
  <si>
    <t>SERIESSUM</t>
  </si>
  <si>
    <t>SERIESSUM(2, 0, 1, {1,1,1})</t>
  </si>
  <si>
    <t>SHEET</t>
  </si>
  <si>
    <t>SHEET()</t>
  </si>
  <si>
    <t>SHEETS</t>
  </si>
  <si>
    <t>SHEETS()</t>
  </si>
  <si>
    <t>SIGN</t>
  </si>
  <si>
    <t>SIGN(-5)</t>
  </si>
  <si>
    <t>SIN</t>
  </si>
  <si>
    <t>SIN(0)</t>
  </si>
  <si>
    <t>SINH</t>
  </si>
  <si>
    <t>SINH(0)</t>
  </si>
  <si>
    <t>SKEW</t>
  </si>
  <si>
    <t>SKEW(1,2,3,4,5)</t>
  </si>
  <si>
    <t>SKEW.P</t>
  </si>
  <si>
    <t>SKEW.P(1,2,3,4,5)</t>
  </si>
  <si>
    <t>SLN</t>
  </si>
  <si>
    <t>SLN(10000, 1000, 5)</t>
  </si>
  <si>
    <t>SLOPE</t>
  </si>
  <si>
    <t>SLOPE({2,4,6}, {1,2,3})</t>
  </si>
  <si>
    <t>SMALL</t>
  </si>
  <si>
    <t>SMALL({3,1,4,1,5}, 2)</t>
  </si>
  <si>
    <t>SORT</t>
  </si>
  <si>
    <t>SORT({3,1,2})</t>
  </si>
  <si>
    <t>SORTBY</t>
  </si>
  <si>
    <t>SORTBY({1,2,3}, {3,1,2})</t>
  </si>
  <si>
    <t>{2;3;1}</t>
  </si>
  <si>
    <t>SQRT</t>
  </si>
  <si>
    <t>SQRT(16)</t>
  </si>
  <si>
    <t>SQRTPI</t>
  </si>
  <si>
    <t>SQRTPI(1)</t>
  </si>
  <si>
    <t>STANDARDIZE</t>
  </si>
  <si>
    <t>STANDARDIZE(10, 5, 2)</t>
  </si>
  <si>
    <t>STDEV</t>
  </si>
  <si>
    <t>STDEV(1,2,3,4,5)</t>
  </si>
  <si>
    <t>STDEV.P</t>
  </si>
  <si>
    <t>STDEV.P(1,2,3,4,5)</t>
  </si>
  <si>
    <t>STDEV.S</t>
  </si>
  <si>
    <t>STDEV.S(1,2,3,4,5)</t>
  </si>
  <si>
    <t>STDEVA</t>
  </si>
  <si>
    <t>STDEVA(1,2,3,4,5)</t>
  </si>
  <si>
    <t>STDEVP</t>
  </si>
  <si>
    <t>STDEVP(1,2,3,4,5)</t>
  </si>
  <si>
    <t>STDEVPA</t>
  </si>
  <si>
    <t>STDEVPA(1,2,3,4,5)</t>
  </si>
  <si>
    <t>STEYX</t>
  </si>
  <si>
    <t>STEYX({2,4,6}, {1,2,3})</t>
  </si>
  <si>
    <t>STOCKHISTORY</t>
  </si>
  <si>
    <t>STOCKHISTORY()</t>
  </si>
  <si>
    <t>SUBSTITUTE</t>
  </si>
  <si>
    <t>SUBSTITUTE("Hello", "l", "x")</t>
  </si>
  <si>
    <t>Hexxo</t>
  </si>
  <si>
    <t>SUBTOTAL</t>
  </si>
  <si>
    <t>SUBTOTAL(9, {1,2,3,4,5})</t>
  </si>
  <si>
    <t>SUM</t>
  </si>
  <si>
    <t>SUM(1,2,3,4,5)</t>
  </si>
  <si>
    <t>SUMIF</t>
  </si>
  <si>
    <t>SUMIF({1,2,3,4,5}, "&gt;2")</t>
  </si>
  <si>
    <t>SUMIFS</t>
  </si>
  <si>
    <t>SUMIFS({1,2,3,4,5}, {1,2,3,4,5}, "&gt;2")</t>
  </si>
  <si>
    <t>SUMPRODUCT</t>
  </si>
  <si>
    <t>SUMPRODUCT({1,2,3}, {4,5,6})</t>
  </si>
  <si>
    <t>SUMSQ</t>
  </si>
  <si>
    <t>SUMSQ(1,2,3)</t>
  </si>
  <si>
    <t>SUMX2MY2</t>
  </si>
  <si>
    <t>SUMX2MY2({1,2,3}, {4,5,6})</t>
  </si>
  <si>
    <t>SUMX2PY2</t>
  </si>
  <si>
    <t>SUMX2PY2({1,2,3}, {4,5,6})</t>
  </si>
  <si>
    <t>SUMXMY2</t>
  </si>
  <si>
    <t>SUMXMY2({1,2,3}, {4,5,6})</t>
  </si>
  <si>
    <t>SWITCH</t>
  </si>
  <si>
    <t>SWITCH(2, 1, "a", 2, "b", "c")</t>
  </si>
  <si>
    <t>SYD</t>
  </si>
  <si>
    <t>SYD(10000, 1000, 5, 1)</t>
  </si>
  <si>
    <t>T</t>
  </si>
  <si>
    <t>T("Hello")</t>
  </si>
  <si>
    <t>Hello</t>
  </si>
  <si>
    <t>TAN</t>
  </si>
  <si>
    <t>TAN(0)</t>
  </si>
  <si>
    <t>TANH</t>
  </si>
  <si>
    <t>TANH(0)</t>
  </si>
  <si>
    <t>TAKE</t>
  </si>
  <si>
    <t>TAKE({1,2,3,4,5}, 3)</t>
  </si>
  <si>
    <t>{1,2,3}</t>
  </si>
  <si>
    <t>TBILLEQ</t>
  </si>
  <si>
    <t>TBILLEQ("2020-01-01", "2020-06-01", 0.05)</t>
  </si>
  <si>
    <t>TBILLPRICE</t>
  </si>
  <si>
    <t>TBILLPRICE("2020-01-01", "2020-06-01", 0.05)</t>
  </si>
  <si>
    <t>TBILLYIELD</t>
  </si>
  <si>
    <t>TBILLYIELD("2020-01-01", "2020-06-01", 97.92)</t>
  </si>
  <si>
    <t>T.DIST</t>
  </si>
  <si>
    <t>T.DIST(1, 10, TRUE)</t>
  </si>
  <si>
    <t>T.DIST.2T</t>
  </si>
  <si>
    <t>T.DIST.2T(1, 10)</t>
  </si>
  <si>
    <t>T.DIST.RT</t>
  </si>
  <si>
    <t>T.DIST.RT(1, 10)</t>
  </si>
  <si>
    <t>TDIST</t>
  </si>
  <si>
    <t>TDIST(1, 10, 2)</t>
  </si>
  <si>
    <t>TEXT</t>
  </si>
  <si>
    <t>TEXT(1234.5, "#,##0.00")</t>
  </si>
  <si>
    <t>TEXTAFTER</t>
  </si>
  <si>
    <t>TEXTAFTER("Hello World", " ")</t>
  </si>
  <si>
    <t>World</t>
  </si>
  <si>
    <t>TEXTBEFORE</t>
  </si>
  <si>
    <t>TEXTBEFORE("Hello World", " ")</t>
  </si>
  <si>
    <t>TEXTJOIN</t>
  </si>
  <si>
    <t>TEXTJOIN(", ", TRUE, "a", "b", "c")</t>
  </si>
  <si>
    <t>a, b, c</t>
  </si>
  <si>
    <t>TEXTSPLIT</t>
  </si>
  <si>
    <t>TEXTSPLIT("a,b,c", ",")</t>
  </si>
  <si>
    <t>{a,b,c}</t>
  </si>
  <si>
    <t>TIME</t>
  </si>
  <si>
    <t>TIME(12, 30, 45)</t>
  </si>
  <si>
    <t>TIMEVALUE</t>
  </si>
  <si>
    <t>TIMEVALUE("12:30:45")</t>
  </si>
  <si>
    <t>T.INV</t>
  </si>
  <si>
    <t>T.INV(0.9, 10)</t>
  </si>
  <si>
    <t>T.INV.2T</t>
  </si>
  <si>
    <t>T.INV.2T(0.1, 10)</t>
  </si>
  <si>
    <t>TINV</t>
  </si>
  <si>
    <t>TINV(0.1, 10)</t>
  </si>
  <si>
    <t>TOCOL</t>
  </si>
  <si>
    <t>TOCOL({1,2;3,4})</t>
  </si>
  <si>
    <t>{1;2;3;4}</t>
  </si>
  <si>
    <t>TOROW</t>
  </si>
  <si>
    <t>TOROW({1;2;3;4})</t>
  </si>
  <si>
    <t>TODAY</t>
  </si>
  <si>
    <t>TODAY()</t>
  </si>
  <si>
    <t>TRANSLATE</t>
  </si>
  <si>
    <t>TRANSLATE()</t>
  </si>
  <si>
    <t>TRANSPOSE</t>
  </si>
  <si>
    <t>TRANSPOSE({1,2,3})</t>
  </si>
  <si>
    <t>TREND</t>
  </si>
  <si>
    <t>TREND({2,4,6}, {1,2,3}, {4})</t>
  </si>
  <si>
    <t>TRIM</t>
  </si>
  <si>
    <t>TRIM("  Hello  ")</t>
  </si>
  <si>
    <t>TRIMMEAN</t>
  </si>
  <si>
    <t>TRIMMEAN({1,2,3,4,5,6,7,8,9,10}, 0.2)</t>
  </si>
  <si>
    <t>TRIMRANGE</t>
  </si>
  <si>
    <t>TRIMRANGE({1,2,3,"";4,5,6,""})</t>
  </si>
  <si>
    <t>{1,2,3;4,5,6}</t>
  </si>
  <si>
    <t>TRUE()</t>
  </si>
  <si>
    <t>TRUNC</t>
  </si>
  <si>
    <t>TRUNC(8.9)</t>
  </si>
  <si>
    <t>T.TEST</t>
  </si>
  <si>
    <t>T.TEST({1,2,3}, {4,5,6}, 2, 1)</t>
  </si>
  <si>
    <t>TTEST</t>
  </si>
  <si>
    <t>TTEST({1,2,3}, {4,5,6}, 2, 1)</t>
  </si>
  <si>
    <t>TYPE</t>
  </si>
  <si>
    <t>TYPE("Hello")</t>
  </si>
  <si>
    <t>UNICHAR</t>
  </si>
  <si>
    <t>UNICHAR(65)</t>
  </si>
  <si>
    <t>UNICODE</t>
  </si>
  <si>
    <t>UNICODE("A")</t>
  </si>
  <si>
    <t>UNIQUE</t>
  </si>
  <si>
    <t>UNIQUE({1,1,2,2,3})</t>
  </si>
  <si>
    <t>UPPER</t>
  </si>
  <si>
    <t>UPPER("hello")</t>
  </si>
  <si>
    <t>HELLO</t>
  </si>
  <si>
    <t>VALUE</t>
  </si>
  <si>
    <t>VALUE("123")</t>
  </si>
  <si>
    <t>VALUETOTEXT</t>
  </si>
  <si>
    <t>VALUETOTEXT(123)</t>
  </si>
  <si>
    <t>VAR</t>
  </si>
  <si>
    <t>VAR(1,2,3,4,5)</t>
  </si>
  <si>
    <t>VAR.P</t>
  </si>
  <si>
    <t>VAR.P(1,2,3,4,5)</t>
  </si>
  <si>
    <t>VAR.S</t>
  </si>
  <si>
    <t>VAR.S(1,2,3,4,5)</t>
  </si>
  <si>
    <t>VARA</t>
  </si>
  <si>
    <t>VARA(1,2,3,4,5)</t>
  </si>
  <si>
    <t>VARP</t>
  </si>
  <si>
    <t>VARP(1,2,3,4,5)</t>
  </si>
  <si>
    <t>VARPA</t>
  </si>
  <si>
    <t>VARPA(1,2,3,4,5)</t>
  </si>
  <si>
    <t>VDB</t>
  </si>
  <si>
    <t>VDB(10000, 1000, 5, 0, 1)</t>
  </si>
  <si>
    <t>VLOOKUP</t>
  </si>
  <si>
    <t>VLOOKUP(2, {1,"a";2,"b";3,"c"}, 2, FALSE)</t>
  </si>
  <si>
    <t>VSTACK</t>
  </si>
  <si>
    <t>VSTACK({1,2}, {3,4})</t>
  </si>
  <si>
    <t>{1,2;3,4}</t>
  </si>
  <si>
    <t>WEBSERVICE</t>
  </si>
  <si>
    <t>WEBSERVICE()</t>
  </si>
  <si>
    <t>WEEKDAY</t>
  </si>
  <si>
    <t>WEEKDAY("2020-01-01")</t>
  </si>
  <si>
    <t>WEEKNUM</t>
  </si>
  <si>
    <t>WEEKNUM("2020-01-15")</t>
  </si>
  <si>
    <t>WEIBULL</t>
  </si>
  <si>
    <t>WEIBULL(1, 2, 3, TRUE)</t>
  </si>
  <si>
    <t>WEIBULL.DIST</t>
  </si>
  <si>
    <t>WEIBULL.DIST(1, 2, 3, TRUE)</t>
  </si>
  <si>
    <t>WORKDAY</t>
  </si>
  <si>
    <t>WORKDAY("2020-01-01", 5)</t>
  </si>
  <si>
    <t>WORKDAY.INTL</t>
  </si>
  <si>
    <t>WORKDAY.INTL("2020-01-01", 5, 1)</t>
  </si>
  <si>
    <t>WRAPCOLS</t>
  </si>
  <si>
    <t>WRAPCOLS({1,2,3,4,5,6}, 2)</t>
  </si>
  <si>
    <t>{1,3,5;2,4,6}</t>
  </si>
  <si>
    <t>WRAPROWS</t>
  </si>
  <si>
    <t>WRAPROWS({1,2,3,4,5,6}, 2)</t>
  </si>
  <si>
    <t>{1,2;3,4;5,6}</t>
  </si>
  <si>
    <t>XIRR</t>
  </si>
  <si>
    <t>XIRR({-1000, 500, 600}, {"2020-01-01", "2020-06-01", "2020-12-01"})</t>
  </si>
  <si>
    <t>XLOOKUP</t>
  </si>
  <si>
    <t>XLOOKUP(2, {1,2,3}, {"a","b","c"})</t>
  </si>
  <si>
    <t>XMATCH</t>
  </si>
  <si>
    <t>XMATCH(2, {1,2,3})</t>
  </si>
  <si>
    <t>XNPV</t>
  </si>
  <si>
    <t>XNPV(0.1, {-1000, 500, 600}, {"2020-01-01", "2020-06-01", "2020-12-01"})</t>
  </si>
  <si>
    <t>XOR</t>
  </si>
  <si>
    <t>XOR(TRUE, FALSE)</t>
  </si>
  <si>
    <t>YEAR</t>
  </si>
  <si>
    <t>YEAR("2020-06-15")</t>
  </si>
  <si>
    <t>YEARFRAC</t>
  </si>
  <si>
    <t>YEARFRAC("2020-01-01", "2020-06-01")</t>
  </si>
  <si>
    <t>YIELD</t>
  </si>
  <si>
    <t>YIELD("2020-01-01", "2030-01-01", 0.05, 95, 100, 2)</t>
  </si>
  <si>
    <t>YIELDDISC</t>
  </si>
  <si>
    <t>YIELDDISC("2020-01-01", "2020-06-01", 97, 100)</t>
  </si>
  <si>
    <t>YIELDMAT</t>
  </si>
  <si>
    <t>YIELDMAT("2020-01-01", "2025-01-01", "2015-01-01", 0.05, 95)</t>
  </si>
  <si>
    <t>Z.TEST</t>
  </si>
  <si>
    <t>Z.TEST({1,2,3,4,5}, 3)</t>
  </si>
  <si>
    <t>ZTEST</t>
  </si>
  <si>
    <t>ZTEST({1,2,3,4,5},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</si>
</sst>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3C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13</v>
    <v>3</v>
  </rv>
  <rv s="1">
    <v>13</v>
    <v>1</v>
  </rv>
  <rv s="0">
    <fb t="e">#NAME?</fb>
    <v>4</v>
    <v>1</v>
  </rv>
  <rv s="1">
    <fb t="e">#NAME?</fb>
    <v>4</v>
    <v>1</v>
  </rv>
  <rv s="0">
    <v>10</v>
    <v>12</v>
  </rv>
  <rv s="1">
    <v>10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baseColWidth="10" defaultColWidth="8.83203125" defaultRowHeight="15" x14ac:dyDescent="0.2"/>
  <cols>
    <col min="1" max="1" width="17.5" customWidth="1"/>
  </cols>
  <sheetData>
    <row r="1" spans="1:3" ht="24.75" customHeight="1" x14ac:dyDescent="0.2">
      <c r="A1" s="1" t="s">
        <v>0</v>
      </c>
      <c r="B1" s="1"/>
      <c r="C1" s="1"/>
    </row>
    <row r="3" spans="1:3" x14ac:dyDescent="0.2">
      <c r="A3" s="2" t="s">
        <v>1</v>
      </c>
      <c r="B3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3"/>
  <sheetViews>
    <sheetView workbookViewId="0"/>
  </sheetViews>
  <sheetFormatPr baseColWidth="10" defaultColWidth="8.83203125" defaultRowHeight="15" x14ac:dyDescent="0.2"/>
  <sheetData>
    <row r="1" spans="1:7" x14ac:dyDescent="0.2">
      <c r="A1" s="3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5" t="s">
        <v>7</v>
      </c>
      <c r="G1" s="6"/>
    </row>
    <row r="2" spans="1:7" x14ac:dyDescent="0.2">
      <c r="A2" t="s">
        <v>8</v>
      </c>
      <c r="B2" t="s">
        <v>9</v>
      </c>
      <c r="C2">
        <f t="array" ref="C2">ABS(-5)</f>
        <v>5</v>
      </c>
      <c r="D2">
        <v>5</v>
      </c>
      <c r="E2" t="b">
        <f t="array" ref="E2">C2=D2</f>
        <v>1</v>
      </c>
    </row>
    <row r="3" spans="1:7" x14ac:dyDescent="0.2">
      <c r="A3" t="s">
        <v>10</v>
      </c>
      <c r="B3" t="s">
        <v>11</v>
      </c>
      <c r="C3">
        <f t="array" ref="C3">ACCRINT("2020-01-01", "2020-06-01", "2020-12-31", 0.05, 1000, 2, 0)</f>
        <v>50</v>
      </c>
      <c r="D3">
        <v>49.72</v>
      </c>
      <c r="E3" t="b">
        <f t="array" ref="E3">C3=D3</f>
        <v>0</v>
      </c>
    </row>
    <row r="4" spans="1:7" x14ac:dyDescent="0.2">
      <c r="A4" t="s">
        <v>12</v>
      </c>
      <c r="B4" t="s">
        <v>13</v>
      </c>
      <c r="C4">
        <f t="array" ref="C4">ACCRINTM("2020-01-01", "2020-06-01", 0.05, 1000, 0)</f>
        <v>20.833333333333336</v>
      </c>
      <c r="D4">
        <v>20.83</v>
      </c>
      <c r="E4" t="b">
        <f t="array" ref="E4">C4=D4</f>
        <v>0</v>
      </c>
    </row>
    <row r="5" spans="1:7" x14ac:dyDescent="0.2">
      <c r="A5" t="s">
        <v>14</v>
      </c>
      <c r="B5" t="s">
        <v>15</v>
      </c>
      <c r="C5">
        <f t="array" ref="C5">ACOS(0.5)</f>
        <v>1.0471975511965976</v>
      </c>
      <c r="D5">
        <v>1.0471999999999999</v>
      </c>
      <c r="E5" t="b">
        <f t="array" ref="E5">C5=D5</f>
        <v>0</v>
      </c>
    </row>
    <row r="6" spans="1:7" x14ac:dyDescent="0.2">
      <c r="A6" t="s">
        <v>16</v>
      </c>
      <c r="B6" t="s">
        <v>17</v>
      </c>
      <c r="C6">
        <f t="array" ref="C6">ACOSH(2)</f>
        <v>1.3169578969248166</v>
      </c>
      <c r="D6">
        <v>1.3169999999999999</v>
      </c>
      <c r="E6" t="b">
        <f t="array" ref="E6">C6=D6</f>
        <v>0</v>
      </c>
    </row>
    <row r="7" spans="1:7" x14ac:dyDescent="0.2">
      <c r="A7" t="s">
        <v>18</v>
      </c>
      <c r="B7" t="s">
        <v>19</v>
      </c>
      <c r="C7">
        <f t="array" ref="C7">_xlfn.ACOT(1)</f>
        <v>0.78539816339744828</v>
      </c>
      <c r="D7">
        <v>0.78539999999999999</v>
      </c>
      <c r="E7" t="b">
        <f t="array" ref="E7">C7=D7</f>
        <v>0</v>
      </c>
    </row>
    <row r="8" spans="1:7" x14ac:dyDescent="0.2">
      <c r="A8" t="s">
        <v>20</v>
      </c>
      <c r="B8" t="s">
        <v>21</v>
      </c>
      <c r="C8">
        <f t="array" ref="C8">_xlfn.ACOTH(2)</f>
        <v>0.54930614433405489</v>
      </c>
      <c r="D8">
        <v>0.54930000000000001</v>
      </c>
      <c r="E8" t="b">
        <f t="array" ref="E8">C8=D8</f>
        <v>0</v>
      </c>
    </row>
    <row r="9" spans="1:7" x14ac:dyDescent="0.2">
      <c r="A9" t="s">
        <v>22</v>
      </c>
      <c r="B9" t="s">
        <v>23</v>
      </c>
      <c r="C9" t="e">
        <f t="array" ref="C9">_xlfn.AGGREGATE(1, 6, {1,2,3,4,5})</f>
        <v>#VALUE!</v>
      </c>
      <c r="D9">
        <v>3</v>
      </c>
      <c r="E9" t="e">
        <f t="array" ref="E9">C9=D9</f>
        <v>#VALUE!</v>
      </c>
    </row>
    <row r="10" spans="1:7" x14ac:dyDescent="0.2">
      <c r="A10" t="s">
        <v>24</v>
      </c>
      <c r="B10" t="s">
        <v>25</v>
      </c>
      <c r="C10" t="str">
        <f t="array" ref="C10">ADDRESS(1, 1)</f>
        <v>$A$1</v>
      </c>
      <c r="D10" t="s">
        <v>26</v>
      </c>
      <c r="E10" t="b">
        <f t="array" ref="E10">C10=D10</f>
        <v>1</v>
      </c>
    </row>
    <row r="11" spans="1:7" x14ac:dyDescent="0.2">
      <c r="A11" t="s">
        <v>27</v>
      </c>
      <c r="B11" t="s">
        <v>28</v>
      </c>
      <c r="C11">
        <f t="array" ref="C11">AMORDEGRC(1000, "2020-01-01", "2020-12-31", 100, 1, 0.15, 0)</f>
        <v>234</v>
      </c>
      <c r="D11">
        <v>150</v>
      </c>
      <c r="E11" t="b">
        <f t="array" ref="E11">C11=D11</f>
        <v>0</v>
      </c>
    </row>
    <row r="12" spans="1:7" x14ac:dyDescent="0.2">
      <c r="A12" t="s">
        <v>29</v>
      </c>
      <c r="B12" t="s">
        <v>30</v>
      </c>
      <c r="C12">
        <f t="array" ref="C12">AMORLINC(1000, "2020-01-01", "2020-12-31", 100, 1, 0.15, 0)</f>
        <v>150</v>
      </c>
      <c r="D12">
        <v>150</v>
      </c>
      <c r="E12" t="b">
        <f t="array" ref="E12">C12=D12</f>
        <v>1</v>
      </c>
    </row>
    <row r="13" spans="1:7" x14ac:dyDescent="0.2">
      <c r="A13" t="s">
        <v>31</v>
      </c>
      <c r="B13" t="s">
        <v>32</v>
      </c>
      <c r="C13" t="b">
        <f t="array" ref="C13">AND(TRUE, TRUE)</f>
        <v>1</v>
      </c>
      <c r="D13" t="b">
        <v>1</v>
      </c>
      <c r="E13" t="b">
        <f t="array" ref="E13">C13=D13</f>
        <v>1</v>
      </c>
    </row>
    <row r="14" spans="1:7" x14ac:dyDescent="0.2">
      <c r="A14" t="s">
        <v>33</v>
      </c>
      <c r="B14" t="s">
        <v>34</v>
      </c>
      <c r="C14">
        <f t="array" ref="C14">_xlfn.ARABIC("X")</f>
        <v>10</v>
      </c>
      <c r="D14">
        <v>10</v>
      </c>
      <c r="E14" t="b">
        <f t="array" ref="E14">C14=D14</f>
        <v>1</v>
      </c>
    </row>
    <row r="15" spans="1:7" x14ac:dyDescent="0.2">
      <c r="A15" t="s">
        <v>35</v>
      </c>
      <c r="B15" t="s">
        <v>36</v>
      </c>
      <c r="C15">
        <f t="array" ref="C15">AREAS(A1:B2)</f>
        <v>1</v>
      </c>
      <c r="D15">
        <v>1</v>
      </c>
      <c r="E15" t="b">
        <f t="array" ref="E15">C15=D15</f>
        <v>1</v>
      </c>
    </row>
    <row r="16" spans="1:7" x14ac:dyDescent="0.2">
      <c r="A16" t="s">
        <v>37</v>
      </c>
      <c r="B16" t="s">
        <v>38</v>
      </c>
      <c r="C16" t="str">
        <f t="array" ref="C16">_xlfn.ARRAYTOTEXT({1,2,3})</f>
        <v>1, 2, 3</v>
      </c>
      <c r="D16" t="s">
        <v>39</v>
      </c>
      <c r="E16" t="b">
        <f t="array" ref="E16">C16=D16</f>
        <v>1</v>
      </c>
    </row>
    <row r="17" spans="1:5" x14ac:dyDescent="0.2">
      <c r="A17" t="s">
        <v>40</v>
      </c>
      <c r="B17" t="s">
        <v>41</v>
      </c>
      <c r="C17" t="str">
        <f t="array" ref="C17">ASC("ABC")</f>
        <v>ABC</v>
      </c>
      <c r="D17" t="s">
        <v>42</v>
      </c>
      <c r="E17" t="b">
        <f t="array" ref="E17">C17=D17</f>
        <v>1</v>
      </c>
    </row>
    <row r="18" spans="1:5" x14ac:dyDescent="0.2">
      <c r="A18" t="s">
        <v>43</v>
      </c>
      <c r="B18" t="s">
        <v>44</v>
      </c>
      <c r="C18">
        <f t="array" ref="C18">ASIN(0.5)</f>
        <v>0.52359877559829893</v>
      </c>
      <c r="D18">
        <v>0.52359999999999995</v>
      </c>
      <c r="E18" t="b">
        <f t="array" ref="E18">C18=D18</f>
        <v>0</v>
      </c>
    </row>
    <row r="19" spans="1:5" x14ac:dyDescent="0.2">
      <c r="A19" t="s">
        <v>45</v>
      </c>
      <c r="B19" t="s">
        <v>46</v>
      </c>
      <c r="C19">
        <f t="array" ref="C19">ASINH(1)</f>
        <v>0.88137358701954294</v>
      </c>
      <c r="D19">
        <v>0.88139999999999996</v>
      </c>
      <c r="E19" t="b">
        <f t="array" ref="E19">C19=D19</f>
        <v>0</v>
      </c>
    </row>
    <row r="20" spans="1:5" x14ac:dyDescent="0.2">
      <c r="A20" t="s">
        <v>47</v>
      </c>
      <c r="B20" t="s">
        <v>48</v>
      </c>
      <c r="C20">
        <f t="array" ref="C20">ATAN(1)</f>
        <v>0.78539816339744828</v>
      </c>
      <c r="D20">
        <v>0.78539999999999999</v>
      </c>
      <c r="E20" t="b">
        <f t="array" ref="E20">C20=D20</f>
        <v>0</v>
      </c>
    </row>
    <row r="21" spans="1:5" x14ac:dyDescent="0.2">
      <c r="A21" t="s">
        <v>49</v>
      </c>
      <c r="B21" t="s">
        <v>50</v>
      </c>
      <c r="C21">
        <f t="array" ref="C21">ATAN2(1, 1)</f>
        <v>0.78539816339744828</v>
      </c>
      <c r="D21">
        <v>0.78539999999999999</v>
      </c>
      <c r="E21" t="b">
        <f t="array" ref="E21">C21=D21</f>
        <v>0</v>
      </c>
    </row>
    <row r="22" spans="1:5" x14ac:dyDescent="0.2">
      <c r="A22" t="s">
        <v>51</v>
      </c>
      <c r="B22" t="s">
        <v>52</v>
      </c>
      <c r="C22">
        <f t="array" ref="C22">ATANH(0.5)</f>
        <v>0.54930614433405489</v>
      </c>
      <c r="D22">
        <v>0.54930000000000001</v>
      </c>
      <c r="E22" t="b">
        <f t="array" ref="E22">C22=D22</f>
        <v>0</v>
      </c>
    </row>
    <row r="23" spans="1:5" x14ac:dyDescent="0.2">
      <c r="A23" t="s">
        <v>53</v>
      </c>
      <c r="B23" t="s">
        <v>54</v>
      </c>
      <c r="C23">
        <f t="array" ref="C23">AVEDEV(1,2,3,4,5)</f>
        <v>1.2</v>
      </c>
      <c r="D23">
        <v>1.2</v>
      </c>
      <c r="E23" t="b">
        <f t="array" ref="E23">C23=D23</f>
        <v>1</v>
      </c>
    </row>
    <row r="24" spans="1:5" x14ac:dyDescent="0.2">
      <c r="A24" t="s">
        <v>55</v>
      </c>
      <c r="B24" t="s">
        <v>56</v>
      </c>
      <c r="C24">
        <f t="array" ref="C24">AVERAGE(1,2,3,4,5)</f>
        <v>3</v>
      </c>
      <c r="D24">
        <v>3</v>
      </c>
      <c r="E24" t="b">
        <f t="array" ref="E24">C24=D24</f>
        <v>1</v>
      </c>
    </row>
    <row r="25" spans="1:5" x14ac:dyDescent="0.2">
      <c r="A25" t="s">
        <v>57</v>
      </c>
      <c r="B25" t="s">
        <v>58</v>
      </c>
      <c r="C25">
        <f t="array" ref="C25">AVERAGEA(1,2,3,4,5)</f>
        <v>3</v>
      </c>
      <c r="D25">
        <v>3</v>
      </c>
      <c r="E25" t="b">
        <f t="array" ref="E25">C25=D25</f>
        <v>1</v>
      </c>
    </row>
    <row r="26" spans="1:5" x14ac:dyDescent="0.2">
      <c r="A26" t="s">
        <v>59</v>
      </c>
      <c r="B26" t="s">
        <v>60</v>
      </c>
      <c r="C26">
        <v>0</v>
      </c>
      <c r="D26">
        <v>4</v>
      </c>
      <c r="E26" t="b">
        <f t="array" ref="E26">C26=D26</f>
        <v>0</v>
      </c>
    </row>
    <row r="27" spans="1:5" x14ac:dyDescent="0.2">
      <c r="A27" t="s">
        <v>61</v>
      </c>
      <c r="B27" t="s">
        <v>62</v>
      </c>
      <c r="C27">
        <v>0</v>
      </c>
      <c r="D27">
        <v>4</v>
      </c>
      <c r="E27" t="b">
        <f t="array" ref="E27">C27=D27</f>
        <v>0</v>
      </c>
    </row>
    <row r="28" spans="1:5" x14ac:dyDescent="0.2">
      <c r="A28" t="s">
        <v>63</v>
      </c>
      <c r="B28" t="s">
        <v>64</v>
      </c>
      <c r="C28" t="str">
        <f t="array" ref="C28">BAHTTEXT(123)</f>
        <v>หนึ่งร้อยยี่สิบสามบาทถ้วน</v>
      </c>
      <c r="D28" t="s">
        <v>65</v>
      </c>
      <c r="E28" t="b">
        <f t="array" ref="E28">C28=D28</f>
        <v>1</v>
      </c>
    </row>
    <row r="29" spans="1:5" x14ac:dyDescent="0.2">
      <c r="A29" t="s">
        <v>66</v>
      </c>
      <c r="B29" t="s">
        <v>67</v>
      </c>
      <c r="C29" t="str">
        <f t="array" ref="C29">_xlfn.BASE(10, 2)</f>
        <v>1010</v>
      </c>
      <c r="D29">
        <v>1010</v>
      </c>
      <c r="E29" t="b">
        <f t="array" ref="E29">C29=D29</f>
        <v>0</v>
      </c>
    </row>
    <row r="30" spans="1:5" x14ac:dyDescent="0.2">
      <c r="A30" t="s">
        <v>68</v>
      </c>
      <c r="B30" t="s">
        <v>69</v>
      </c>
      <c r="C30">
        <f t="array" ref="C30">BESSELI(1, 0)</f>
        <v>1.2660658480342601</v>
      </c>
      <c r="D30">
        <v>1.2661</v>
      </c>
      <c r="E30" t="b">
        <f t="array" ref="E30">C30=D30</f>
        <v>0</v>
      </c>
    </row>
    <row r="31" spans="1:5" x14ac:dyDescent="0.2">
      <c r="A31" t="s">
        <v>70</v>
      </c>
      <c r="B31" t="s">
        <v>71</v>
      </c>
      <c r="C31">
        <f t="array" ref="C31">BESSELJ(1, 0)</f>
        <v>0.76519768375485919</v>
      </c>
      <c r="D31">
        <v>0.76519999999999999</v>
      </c>
      <c r="E31" t="b">
        <f t="array" ref="E31">C31=D31</f>
        <v>0</v>
      </c>
    </row>
    <row r="32" spans="1:5" x14ac:dyDescent="0.2">
      <c r="A32" t="s">
        <v>72</v>
      </c>
      <c r="B32" t="s">
        <v>73</v>
      </c>
      <c r="C32">
        <f t="array" ref="C32">BESSELK(1, 0)</f>
        <v>0.42102442108341798</v>
      </c>
      <c r="D32">
        <v>0.42099999999999999</v>
      </c>
      <c r="E32" t="b">
        <f t="array" ref="E32">C32=D32</f>
        <v>0</v>
      </c>
    </row>
    <row r="33" spans="1:5" x14ac:dyDescent="0.2">
      <c r="A33" t="s">
        <v>74</v>
      </c>
      <c r="B33" t="s">
        <v>75</v>
      </c>
      <c r="C33">
        <f t="array" ref="C33">BESSELY(1, 0)</f>
        <v>8.8256971397708064E-2</v>
      </c>
      <c r="D33">
        <v>8.8300000000000003E-2</v>
      </c>
      <c r="E33" t="b">
        <f t="array" ref="E33">C33=D33</f>
        <v>0</v>
      </c>
    </row>
    <row r="34" spans="1:5" x14ac:dyDescent="0.2">
      <c r="A34" t="s">
        <v>76</v>
      </c>
      <c r="B34" t="s">
        <v>77</v>
      </c>
      <c r="C34">
        <f t="array" ref="C34">BETADIST(0.5, 2, 3)</f>
        <v>0.6875</v>
      </c>
      <c r="D34">
        <v>0.6875</v>
      </c>
      <c r="E34" t="b">
        <f t="array" ref="E34">C34=D34</f>
        <v>1</v>
      </c>
    </row>
    <row r="35" spans="1:5" x14ac:dyDescent="0.2">
      <c r="A35" t="s">
        <v>78</v>
      </c>
      <c r="B35" t="s">
        <v>79</v>
      </c>
      <c r="C35">
        <f t="array" ref="C35">_xlfn.BETA.DIST(0.5, 2, 3, TRUE)</f>
        <v>0.6875</v>
      </c>
      <c r="D35">
        <v>0.6875</v>
      </c>
      <c r="E35" t="b">
        <f t="array" ref="E35">C35=D35</f>
        <v>1</v>
      </c>
    </row>
    <row r="36" spans="1:5" x14ac:dyDescent="0.2">
      <c r="A36" t="s">
        <v>80</v>
      </c>
      <c r="B36" t="s">
        <v>81</v>
      </c>
      <c r="C36">
        <f t="array" ref="C36">BETAINV(0.5, 2, 3)</f>
        <v>0.38572756813238951</v>
      </c>
      <c r="D36">
        <v>0.38569999999999999</v>
      </c>
      <c r="E36" t="b">
        <f t="array" ref="E36">C36=D36</f>
        <v>0</v>
      </c>
    </row>
    <row r="37" spans="1:5" x14ac:dyDescent="0.2">
      <c r="A37" t="s">
        <v>82</v>
      </c>
      <c r="B37" t="s">
        <v>83</v>
      </c>
      <c r="C37">
        <f t="array" ref="C37">_xlfn.BETA.INV(0.5, 2, 3)</f>
        <v>0.38572756813238951</v>
      </c>
      <c r="D37">
        <v>0.38569999999999999</v>
      </c>
      <c r="E37" t="b">
        <f t="array" ref="E37">C37=D37</f>
        <v>0</v>
      </c>
    </row>
    <row r="38" spans="1:5" x14ac:dyDescent="0.2">
      <c r="A38" t="s">
        <v>84</v>
      </c>
      <c r="B38" t="s">
        <v>85</v>
      </c>
      <c r="C38">
        <f t="array" ref="C38">BIN2DEC("1010")</f>
        <v>10</v>
      </c>
      <c r="D38">
        <v>10</v>
      </c>
      <c r="E38" t="b">
        <f t="array" ref="E38">C38=D38</f>
        <v>1</v>
      </c>
    </row>
    <row r="39" spans="1:5" x14ac:dyDescent="0.2">
      <c r="A39" t="s">
        <v>86</v>
      </c>
      <c r="B39" t="s">
        <v>87</v>
      </c>
      <c r="C39" t="str">
        <f t="array" ref="C39">BIN2HEX("1010")</f>
        <v>A</v>
      </c>
      <c r="D39" t="s">
        <v>88</v>
      </c>
      <c r="E39" t="b">
        <f t="array" ref="E39">C39=D39</f>
        <v>1</v>
      </c>
    </row>
    <row r="40" spans="1:5" x14ac:dyDescent="0.2">
      <c r="A40" t="s">
        <v>89</v>
      </c>
      <c r="B40" t="s">
        <v>90</v>
      </c>
      <c r="C40" t="str">
        <f t="array" ref="C40">BIN2OCT("1010")</f>
        <v>12</v>
      </c>
      <c r="D40">
        <v>12</v>
      </c>
      <c r="E40" t="b">
        <f t="array" ref="E40">C40=D40</f>
        <v>0</v>
      </c>
    </row>
    <row r="41" spans="1:5" x14ac:dyDescent="0.2">
      <c r="A41" t="s">
        <v>91</v>
      </c>
      <c r="B41" t="s">
        <v>92</v>
      </c>
      <c r="C41">
        <f t="array" ref="C41">BINOMDIST(5, 10, 0.5, FALSE)</f>
        <v>0.24609375000000011</v>
      </c>
      <c r="D41">
        <v>0.24610000000000001</v>
      </c>
      <c r="E41" t="b">
        <f t="array" ref="E41">C41=D41</f>
        <v>0</v>
      </c>
    </row>
    <row r="42" spans="1:5" x14ac:dyDescent="0.2">
      <c r="A42" t="s">
        <v>93</v>
      </c>
      <c r="B42" t="s">
        <v>94</v>
      </c>
      <c r="C42">
        <f t="array" ref="C42">_xlfn.BINOM.DIST(5, 10, 0.5, FALSE)</f>
        <v>0.24609375000000011</v>
      </c>
      <c r="D42">
        <v>0.24610000000000001</v>
      </c>
      <c r="E42" t="b">
        <f t="array" ref="E42">C42=D42</f>
        <v>0</v>
      </c>
    </row>
    <row r="43" spans="1:5" x14ac:dyDescent="0.2">
      <c r="A43" t="s">
        <v>95</v>
      </c>
      <c r="B43" t="s">
        <v>96</v>
      </c>
      <c r="C43">
        <f t="array" ref="C43">_xlfn.BINOM.DIST.RANGE(10, 0.5, 3, 7)</f>
        <v>0.890625</v>
      </c>
      <c r="D43">
        <v>0.89059999999999995</v>
      </c>
      <c r="E43" t="b">
        <f t="array" ref="E43">C43=D43</f>
        <v>0</v>
      </c>
    </row>
    <row r="44" spans="1:5" x14ac:dyDescent="0.2">
      <c r="A44" t="s">
        <v>97</v>
      </c>
      <c r="B44" t="s">
        <v>98</v>
      </c>
      <c r="C44">
        <f t="array" ref="C44">_xlfn.BINOM.INV(10, 0.5, 0.75)</f>
        <v>6</v>
      </c>
      <c r="D44">
        <v>6</v>
      </c>
      <c r="E44" t="b">
        <f t="array" ref="E44">C44=D44</f>
        <v>1</v>
      </c>
    </row>
    <row r="45" spans="1:5" x14ac:dyDescent="0.2">
      <c r="A45" t="s">
        <v>99</v>
      </c>
      <c r="B45" t="s">
        <v>100</v>
      </c>
      <c r="C45">
        <f t="array" ref="C45">_xlfn.BITAND(5, 3)</f>
        <v>1</v>
      </c>
      <c r="D45">
        <v>1</v>
      </c>
      <c r="E45" t="b">
        <f t="array" ref="E45">C45=D45</f>
        <v>1</v>
      </c>
    </row>
    <row r="46" spans="1:5" x14ac:dyDescent="0.2">
      <c r="A46" t="s">
        <v>101</v>
      </c>
      <c r="B46" t="s">
        <v>102</v>
      </c>
      <c r="C46">
        <f t="array" ref="C46">_xlfn.BITLSHIFT(4, 2)</f>
        <v>16</v>
      </c>
      <c r="D46">
        <v>16</v>
      </c>
      <c r="E46" t="b">
        <f t="array" ref="E46">C46=D46</f>
        <v>1</v>
      </c>
    </row>
    <row r="47" spans="1:5" x14ac:dyDescent="0.2">
      <c r="A47" t="s">
        <v>103</v>
      </c>
      <c r="B47" t="s">
        <v>104</v>
      </c>
      <c r="C47">
        <f t="array" ref="C47">_xlfn.BITOR(5, 3)</f>
        <v>7</v>
      </c>
      <c r="D47">
        <v>7</v>
      </c>
      <c r="E47" t="b">
        <f t="array" ref="E47">C47=D47</f>
        <v>1</v>
      </c>
    </row>
    <row r="48" spans="1:5" x14ac:dyDescent="0.2">
      <c r="A48" t="s">
        <v>105</v>
      </c>
      <c r="B48" t="s">
        <v>106</v>
      </c>
      <c r="C48">
        <f t="array" ref="C48">_xlfn.BITRSHIFT(16, 2)</f>
        <v>4</v>
      </c>
      <c r="D48">
        <v>4</v>
      </c>
      <c r="E48" t="b">
        <f t="array" ref="E48">C48=D48</f>
        <v>1</v>
      </c>
    </row>
    <row r="49" spans="1:5" x14ac:dyDescent="0.2">
      <c r="A49" t="s">
        <v>107</v>
      </c>
      <c r="B49" t="s">
        <v>108</v>
      </c>
      <c r="C49">
        <f t="array" ref="C49">_xlfn.BITXOR(5, 3)</f>
        <v>6</v>
      </c>
      <c r="D49">
        <v>6</v>
      </c>
      <c r="E49" t="b">
        <f t="array" ref="E49">C49=D49</f>
        <v>1</v>
      </c>
    </row>
    <row r="50" spans="1:5" x14ac:dyDescent="0.2">
      <c r="A50" t="s">
        <v>109</v>
      </c>
      <c r="B50" t="s">
        <v>110</v>
      </c>
      <c r="D50" t="s">
        <v>111</v>
      </c>
      <c r="E50" t="b">
        <f t="array" ref="E50">C50=D50</f>
        <v>0</v>
      </c>
    </row>
    <row r="51" spans="1:5" x14ac:dyDescent="0.2">
      <c r="A51" t="s">
        <v>112</v>
      </c>
      <c r="B51" t="s">
        <v>113</v>
      </c>
      <c r="D51" t="s">
        <v>114</v>
      </c>
      <c r="E51" t="b">
        <f t="array" ref="E51">C51=D51</f>
        <v>0</v>
      </c>
    </row>
    <row r="52" spans="1:5" x14ac:dyDescent="0.2">
      <c r="A52" t="s">
        <v>115</v>
      </c>
      <c r="B52" t="s">
        <v>116</v>
      </c>
      <c r="C52">
        <v>0</v>
      </c>
      <c r="D52" t="s">
        <v>117</v>
      </c>
      <c r="E52" t="b">
        <f t="array" ref="E52">C52=D52</f>
        <v>0</v>
      </c>
    </row>
    <row r="53" spans="1:5" x14ac:dyDescent="0.2">
      <c r="A53" t="s">
        <v>118</v>
      </c>
      <c r="B53" t="s">
        <v>119</v>
      </c>
      <c r="C53">
        <f t="array" ref="C53">CEILING(4.3, 1)</f>
        <v>5</v>
      </c>
      <c r="D53">
        <v>5</v>
      </c>
      <c r="E53" t="b">
        <f t="array" ref="E53">C53=D53</f>
        <v>1</v>
      </c>
    </row>
    <row r="54" spans="1:5" x14ac:dyDescent="0.2">
      <c r="A54" t="s">
        <v>120</v>
      </c>
      <c r="B54" t="s">
        <v>121</v>
      </c>
      <c r="C54">
        <f t="array" ref="C54">_xlfn.CEILING.MATH(4.3, 1)</f>
        <v>5</v>
      </c>
      <c r="D54">
        <v>5</v>
      </c>
      <c r="E54" t="b">
        <f t="array" ref="E54">C54=D54</f>
        <v>1</v>
      </c>
    </row>
    <row r="55" spans="1:5" x14ac:dyDescent="0.2">
      <c r="A55" t="s">
        <v>122</v>
      </c>
      <c r="B55" t="s">
        <v>123</v>
      </c>
      <c r="C55">
        <f t="array" ref="C55">_xlfn.CEILING.PRECISE(4.3, 1)</f>
        <v>5</v>
      </c>
      <c r="D55">
        <v>5</v>
      </c>
      <c r="E55" t="b">
        <f t="array" ref="E55">C55=D55</f>
        <v>1</v>
      </c>
    </row>
    <row r="56" spans="1:5" x14ac:dyDescent="0.2">
      <c r="A56" t="s">
        <v>124</v>
      </c>
      <c r="B56" t="s">
        <v>125</v>
      </c>
      <c r="C56" t="str">
        <f t="array" aca="1" ref="C56" ca="1">CELL("address", A1)</f>
        <v>$A$1</v>
      </c>
      <c r="D56" t="s">
        <v>26</v>
      </c>
      <c r="E56" t="b">
        <f t="array" aca="1" ref="E56" ca="1">C56=D56</f>
        <v>1</v>
      </c>
    </row>
    <row r="57" spans="1:5" x14ac:dyDescent="0.2">
      <c r="A57" t="s">
        <v>126</v>
      </c>
      <c r="B57" t="s">
        <v>127</v>
      </c>
      <c r="C57" t="str">
        <f t="array" ref="C57">CHAR(65)</f>
        <v>A</v>
      </c>
      <c r="D57" t="s">
        <v>88</v>
      </c>
      <c r="E57" t="b">
        <f t="array" ref="E57">C57=D57</f>
        <v>1</v>
      </c>
    </row>
    <row r="58" spans="1:5" x14ac:dyDescent="0.2">
      <c r="A58" t="s">
        <v>128</v>
      </c>
      <c r="B58" t="s">
        <v>129</v>
      </c>
      <c r="C58">
        <f t="array" ref="C58">CHIDIST(4, 2)</f>
        <v>0.1353352832366127</v>
      </c>
      <c r="D58">
        <v>0.1353</v>
      </c>
      <c r="E58" t="b">
        <f t="array" ref="E58">C58=D58</f>
        <v>0</v>
      </c>
    </row>
    <row r="59" spans="1:5" x14ac:dyDescent="0.2">
      <c r="A59" t="s">
        <v>130</v>
      </c>
      <c r="B59" t="s">
        <v>131</v>
      </c>
      <c r="C59">
        <f t="array" ref="C59">CHIINV(0.05, 2)</f>
        <v>5.9914645471079817</v>
      </c>
      <c r="D59">
        <v>5.9915000000000003</v>
      </c>
      <c r="E59" t="b">
        <f t="array" ref="E59">C59=D59</f>
        <v>0</v>
      </c>
    </row>
    <row r="60" spans="1:5" x14ac:dyDescent="0.2">
      <c r="A60" t="s">
        <v>132</v>
      </c>
      <c r="B60" t="s">
        <v>133</v>
      </c>
      <c r="C60">
        <f t="array" ref="C60">CHITEST({10,20},{15,15})</f>
        <v>6.7889154861829046E-2</v>
      </c>
      <c r="D60">
        <v>0.2482</v>
      </c>
      <c r="E60" t="b">
        <f t="array" ref="E60">C60=D60</f>
        <v>0</v>
      </c>
    </row>
    <row r="61" spans="1:5" x14ac:dyDescent="0.2">
      <c r="A61" t="s">
        <v>134</v>
      </c>
      <c r="B61" t="s">
        <v>135</v>
      </c>
      <c r="C61">
        <f t="array" ref="C61">_xlfn.CHISQ.DIST(4, 2, TRUE)</f>
        <v>0.8646647167633873</v>
      </c>
      <c r="D61">
        <v>0.86470000000000002</v>
      </c>
      <c r="E61" t="b">
        <f t="array" ref="E61">C61=D61</f>
        <v>0</v>
      </c>
    </row>
    <row r="62" spans="1:5" x14ac:dyDescent="0.2">
      <c r="A62" t="s">
        <v>136</v>
      </c>
      <c r="B62" t="s">
        <v>137</v>
      </c>
      <c r="C62">
        <f t="array" ref="C62">_xlfn.CHISQ.DIST.RT(4, 2)</f>
        <v>0.1353352832366127</v>
      </c>
      <c r="D62">
        <v>0.1353</v>
      </c>
      <c r="E62" t="b">
        <f t="array" ref="E62">C62=D62</f>
        <v>0</v>
      </c>
    </row>
    <row r="63" spans="1:5" x14ac:dyDescent="0.2">
      <c r="A63" t="s">
        <v>138</v>
      </c>
      <c r="B63" t="s">
        <v>139</v>
      </c>
      <c r="C63">
        <f t="array" ref="C63">_xlfn.CHISQ.INV(0.8, 2)</f>
        <v>3.218875824868201</v>
      </c>
      <c r="D63">
        <v>3.2189000000000001</v>
      </c>
      <c r="E63" t="b">
        <f t="array" ref="E63">C63=D63</f>
        <v>0</v>
      </c>
    </row>
    <row r="64" spans="1:5" x14ac:dyDescent="0.2">
      <c r="A64" t="s">
        <v>140</v>
      </c>
      <c r="B64" t="s">
        <v>141</v>
      </c>
      <c r="C64">
        <f t="array" ref="C64">_xlfn.CHISQ.INV.RT(0.05, 2)</f>
        <v>5.9914645471079817</v>
      </c>
      <c r="D64">
        <v>5.9915000000000003</v>
      </c>
      <c r="E64" t="b">
        <f t="array" ref="E64">C64=D64</f>
        <v>0</v>
      </c>
    </row>
    <row r="65" spans="1:5" x14ac:dyDescent="0.2">
      <c r="A65" t="s">
        <v>142</v>
      </c>
      <c r="B65" t="s">
        <v>143</v>
      </c>
      <c r="C65">
        <f t="array" ref="C65">_xlfn.CHISQ.TEST({10,20},{15,15})</f>
        <v>6.7889154861829046E-2</v>
      </c>
      <c r="D65">
        <v>0.2482</v>
      </c>
      <c r="E65" t="b">
        <f t="array" ref="E65">C65=D65</f>
        <v>0</v>
      </c>
    </row>
    <row r="66" spans="1:5" x14ac:dyDescent="0.2">
      <c r="A66" t="s">
        <v>144</v>
      </c>
      <c r="B66" t="s">
        <v>145</v>
      </c>
      <c r="C66" t="str">
        <f t="array" ref="C66">CHOOSE(2, "a", "b", "c")</f>
        <v>b</v>
      </c>
      <c r="D66" t="s">
        <v>146</v>
      </c>
      <c r="E66" t="b">
        <f t="array" ref="E66">C66=D66</f>
        <v>1</v>
      </c>
    </row>
    <row r="67" spans="1:5" x14ac:dyDescent="0.2">
      <c r="A67" t="s">
        <v>147</v>
      </c>
      <c r="B67" t="s">
        <v>148</v>
      </c>
      <c r="D67" t="s">
        <v>149</v>
      </c>
      <c r="E67" t="b">
        <f t="array" ref="E67">C67=D67</f>
        <v>0</v>
      </c>
    </row>
    <row r="68" spans="1:5" x14ac:dyDescent="0.2">
      <c r="A68" t="s">
        <v>150</v>
      </c>
      <c r="B68" t="s">
        <v>151</v>
      </c>
      <c r="D68" t="s">
        <v>152</v>
      </c>
      <c r="E68" t="b">
        <f t="array" ref="E68">C68=D68</f>
        <v>0</v>
      </c>
    </row>
    <row r="69" spans="1:5" x14ac:dyDescent="0.2">
      <c r="A69" t="s">
        <v>153</v>
      </c>
      <c r="B69" t="s">
        <v>154</v>
      </c>
      <c r="C69" t="str">
        <f t="array" ref="C69">CLEAN(CHAR(9)&amp;"text")</f>
        <v>text</v>
      </c>
      <c r="D69" t="s">
        <v>155</v>
      </c>
      <c r="E69" t="b">
        <f t="array" ref="E69">C69=D69</f>
        <v>1</v>
      </c>
    </row>
    <row r="70" spans="1:5" x14ac:dyDescent="0.2">
      <c r="A70" t="s">
        <v>156</v>
      </c>
      <c r="B70" t="s">
        <v>157</v>
      </c>
      <c r="C70">
        <f t="array" ref="C70">CODE("A")</f>
        <v>65</v>
      </c>
      <c r="D70">
        <v>65</v>
      </c>
      <c r="E70" t="b">
        <f t="array" ref="E70">C70=D70</f>
        <v>1</v>
      </c>
    </row>
    <row r="71" spans="1:5" x14ac:dyDescent="0.2">
      <c r="A71" t="s">
        <v>158</v>
      </c>
      <c r="B71" t="s">
        <v>159</v>
      </c>
      <c r="C71">
        <f t="array" ref="C71">COLUMN(B1)</f>
        <v>2</v>
      </c>
      <c r="D71">
        <v>2</v>
      </c>
      <c r="E71" t="b">
        <f t="array" ref="E71">C71=D71</f>
        <v>1</v>
      </c>
    </row>
    <row r="72" spans="1:5" x14ac:dyDescent="0.2">
      <c r="A72" t="s">
        <v>160</v>
      </c>
      <c r="B72" t="s">
        <v>161</v>
      </c>
      <c r="C72">
        <f t="array" ref="C72">COLUMNS(A1:D1)</f>
        <v>4</v>
      </c>
      <c r="D72">
        <v>4</v>
      </c>
      <c r="E72" t="b">
        <f t="array" ref="E72">C72=D72</f>
        <v>1</v>
      </c>
    </row>
    <row r="73" spans="1:5" x14ac:dyDescent="0.2">
      <c r="A73" t="s">
        <v>162</v>
      </c>
      <c r="B73" t="s">
        <v>163</v>
      </c>
      <c r="C73">
        <f t="array" ref="C73">COMBIN(5, 2)</f>
        <v>10</v>
      </c>
      <c r="D73">
        <v>10</v>
      </c>
      <c r="E73" t="b">
        <f t="array" ref="E73">C73=D73</f>
        <v>1</v>
      </c>
    </row>
    <row r="74" spans="1:5" x14ac:dyDescent="0.2">
      <c r="A74" t="s">
        <v>164</v>
      </c>
      <c r="B74" t="s">
        <v>165</v>
      </c>
      <c r="C74">
        <f t="array" ref="C74">_xlfn.COMBINA(5, 2)</f>
        <v>15</v>
      </c>
      <c r="D74">
        <v>15</v>
      </c>
      <c r="E74" t="b">
        <f t="array" ref="E74">C74=D74</f>
        <v>1</v>
      </c>
    </row>
    <row r="75" spans="1:5" x14ac:dyDescent="0.2">
      <c r="A75" t="s">
        <v>166</v>
      </c>
      <c r="B75" t="s">
        <v>167</v>
      </c>
      <c r="C75" t="str">
        <f t="array" ref="C75">COMPLEX(3, 4)</f>
        <v>3+4i</v>
      </c>
      <c r="D75" t="s">
        <v>168</v>
      </c>
      <c r="E75" t="b">
        <f t="array" ref="E75">C75=D75</f>
        <v>1</v>
      </c>
    </row>
    <row r="76" spans="1:5" x14ac:dyDescent="0.2">
      <c r="A76" t="s">
        <v>169</v>
      </c>
      <c r="B76" t="s">
        <v>170</v>
      </c>
      <c r="C76" t="str">
        <f t="array" ref="C76">_xlfn.CONCAT("Hello", " ", "World")</f>
        <v>Hello World</v>
      </c>
      <c r="D76" t="s">
        <v>171</v>
      </c>
      <c r="E76" t="b">
        <f t="array" ref="E76">C76=D76</f>
        <v>1</v>
      </c>
    </row>
    <row r="77" spans="1:5" x14ac:dyDescent="0.2">
      <c r="A77" t="s">
        <v>172</v>
      </c>
      <c r="B77" t="s">
        <v>173</v>
      </c>
      <c r="C77" t="str">
        <f t="array" ref="C77">CONCATENATE("A", "B", "C")</f>
        <v>ABC</v>
      </c>
      <c r="D77" t="s">
        <v>42</v>
      </c>
      <c r="E77" t="b">
        <f t="array" ref="E77">C77=D77</f>
        <v>1</v>
      </c>
    </row>
    <row r="78" spans="1:5" x14ac:dyDescent="0.2">
      <c r="A78" t="s">
        <v>174</v>
      </c>
      <c r="B78" t="s">
        <v>175</v>
      </c>
      <c r="C78">
        <f t="array" ref="C78">CONFIDENCE(0.05, 1, 50)</f>
        <v>0.27718076486993548</v>
      </c>
      <c r="D78">
        <v>0.2772</v>
      </c>
      <c r="E78" t="b">
        <f t="array" ref="E78">C78=D78</f>
        <v>0</v>
      </c>
    </row>
    <row r="79" spans="1:5" x14ac:dyDescent="0.2">
      <c r="A79" t="s">
        <v>176</v>
      </c>
      <c r="B79" t="s">
        <v>177</v>
      </c>
      <c r="C79">
        <f t="array" ref="C79">_xlfn.CONFIDENCE.NORM(0.05, 1, 50)</f>
        <v>0.27718076486993548</v>
      </c>
      <c r="D79">
        <v>0.2772</v>
      </c>
      <c r="E79" t="b">
        <f t="array" ref="E79">C79=D79</f>
        <v>0</v>
      </c>
    </row>
    <row r="80" spans="1:5" x14ac:dyDescent="0.2">
      <c r="A80" t="s">
        <v>178</v>
      </c>
      <c r="B80" t="s">
        <v>179</v>
      </c>
      <c r="C80">
        <f t="array" ref="C80">_xlfn.CONFIDENCE.T(0.05, 1, 50)</f>
        <v>0.28419685549572982</v>
      </c>
      <c r="D80">
        <v>0.28420000000000001</v>
      </c>
      <c r="E80" t="b">
        <f t="array" ref="E80">C80=D80</f>
        <v>0</v>
      </c>
    </row>
    <row r="81" spans="1:5" x14ac:dyDescent="0.2">
      <c r="A81" t="s">
        <v>180</v>
      </c>
      <c r="B81" t="s">
        <v>181</v>
      </c>
      <c r="C81">
        <f t="array" ref="C81">CONVERT(1, "m", "ft")</f>
        <v>3.2808398950131235</v>
      </c>
      <c r="D81">
        <v>3.2808000000000002</v>
      </c>
      <c r="E81" t="b">
        <f t="array" ref="E81">C81=D81</f>
        <v>0</v>
      </c>
    </row>
    <row r="82" spans="1:5" x14ac:dyDescent="0.2">
      <c r="A82" t="s">
        <v>182</v>
      </c>
      <c r="B82" t="s">
        <v>183</v>
      </c>
      <c r="C82" t="e">
        <f t="array" aca="1" ref="C82" ca="1">COPILOT()</f>
        <v>#NAME?</v>
      </c>
      <c r="D82" t="s">
        <v>117</v>
      </c>
      <c r="E82" t="e">
        <f t="array" aca="1" ref="E82" ca="1">C82=D82</f>
        <v>#NAME?</v>
      </c>
    </row>
    <row r="83" spans="1:5" x14ac:dyDescent="0.2">
      <c r="A83" t="s">
        <v>184</v>
      </c>
      <c r="B83" t="s">
        <v>185</v>
      </c>
      <c r="C83">
        <f t="array" ref="C83">CORREL({1,2,3}, {2,4,6})</f>
        <v>1</v>
      </c>
      <c r="D83">
        <v>1</v>
      </c>
      <c r="E83" t="b">
        <f t="array" ref="E83">C83=D83</f>
        <v>1</v>
      </c>
    </row>
    <row r="84" spans="1:5" x14ac:dyDescent="0.2">
      <c r="A84" t="s">
        <v>186</v>
      </c>
      <c r="B84" t="s">
        <v>187</v>
      </c>
      <c r="C84">
        <f t="array" ref="C84">COS(0)</f>
        <v>1</v>
      </c>
      <c r="D84">
        <v>1</v>
      </c>
      <c r="E84" t="b">
        <f t="array" ref="E84">C84=D84</f>
        <v>1</v>
      </c>
    </row>
    <row r="85" spans="1:5" x14ac:dyDescent="0.2">
      <c r="A85" t="s">
        <v>188</v>
      </c>
      <c r="B85" t="s">
        <v>189</v>
      </c>
      <c r="C85">
        <f t="array" ref="C85">COSH(0)</f>
        <v>1</v>
      </c>
      <c r="D85">
        <v>1</v>
      </c>
      <c r="E85" t="b">
        <f t="array" ref="E85">C85=D85</f>
        <v>1</v>
      </c>
    </row>
    <row r="86" spans="1:5" x14ac:dyDescent="0.2">
      <c r="A86" t="s">
        <v>190</v>
      </c>
      <c r="B86" t="s">
        <v>191</v>
      </c>
      <c r="C86">
        <f t="array" ref="C86">_xlfn.COT(0.785398)</f>
        <v>1.00000032679495</v>
      </c>
      <c r="D86">
        <v>1</v>
      </c>
      <c r="E86" t="b">
        <f t="array" ref="E86">C86=D86</f>
        <v>0</v>
      </c>
    </row>
    <row r="87" spans="1:5" x14ac:dyDescent="0.2">
      <c r="A87" t="s">
        <v>192</v>
      </c>
      <c r="B87" t="s">
        <v>193</v>
      </c>
      <c r="C87">
        <f t="array" ref="C87">_xlfn.COTH(1)</f>
        <v>1.3130352854993315</v>
      </c>
      <c r="D87">
        <v>1.3129999999999999</v>
      </c>
      <c r="E87" t="b">
        <f t="array" ref="E87">C87=D87</f>
        <v>0</v>
      </c>
    </row>
    <row r="88" spans="1:5" x14ac:dyDescent="0.2">
      <c r="A88" t="s">
        <v>194</v>
      </c>
      <c r="B88" t="s">
        <v>195</v>
      </c>
      <c r="C88">
        <f t="array" ref="C88">COUNT(1, 2, "a", 3)</f>
        <v>3</v>
      </c>
      <c r="D88">
        <v>3</v>
      </c>
      <c r="E88" t="b">
        <f t="array" ref="E88">C88=D88</f>
        <v>1</v>
      </c>
    </row>
    <row r="89" spans="1:5" x14ac:dyDescent="0.2">
      <c r="A89" t="s">
        <v>196</v>
      </c>
      <c r="B89" t="s">
        <v>197</v>
      </c>
      <c r="C89">
        <f t="array" ref="C89">COUNTA(1, 2, "a", 3)</f>
        <v>4</v>
      </c>
      <c r="D89">
        <v>4</v>
      </c>
      <c r="E89" t="b">
        <f t="array" ref="E89">C89=D89</f>
        <v>1</v>
      </c>
    </row>
    <row r="90" spans="1:5" x14ac:dyDescent="0.2">
      <c r="A90" t="s">
        <v>198</v>
      </c>
      <c r="B90" t="s">
        <v>199</v>
      </c>
      <c r="C90">
        <v>0</v>
      </c>
      <c r="D90">
        <v>2</v>
      </c>
      <c r="E90" t="b">
        <f t="array" ref="E90">C90=D90</f>
        <v>0</v>
      </c>
    </row>
    <row r="91" spans="1:5" x14ac:dyDescent="0.2">
      <c r="A91" t="s">
        <v>200</v>
      </c>
      <c r="B91" t="s">
        <v>201</v>
      </c>
      <c r="C91">
        <v>0</v>
      </c>
      <c r="D91">
        <v>3</v>
      </c>
      <c r="E91" t="b">
        <f t="array" ref="E91">C91=D91</f>
        <v>0</v>
      </c>
    </row>
    <row r="92" spans="1:5" x14ac:dyDescent="0.2">
      <c r="A92" t="s">
        <v>202</v>
      </c>
      <c r="B92" t="s">
        <v>203</v>
      </c>
      <c r="C92">
        <v>0</v>
      </c>
      <c r="D92">
        <v>2</v>
      </c>
      <c r="E92" t="b">
        <f t="array" ref="E92">C92=D92</f>
        <v>0</v>
      </c>
    </row>
    <row r="93" spans="1:5" x14ac:dyDescent="0.2">
      <c r="A93" t="s">
        <v>204</v>
      </c>
      <c r="B93" t="s">
        <v>205</v>
      </c>
      <c r="C93">
        <f t="array" ref="C93">COUPDAYBS("2020-03-01", "2020-12-31", 2, 0)</f>
        <v>61</v>
      </c>
      <c r="D93">
        <v>60</v>
      </c>
      <c r="E93" t="b">
        <f t="array" ref="E93">C93=D93</f>
        <v>0</v>
      </c>
    </row>
    <row r="94" spans="1:5" x14ac:dyDescent="0.2">
      <c r="A94" t="s">
        <v>206</v>
      </c>
      <c r="B94" t="s">
        <v>207</v>
      </c>
      <c r="C94">
        <f t="array" ref="C94">COUPDAYS("2020-03-01", "2020-12-31", 2, 0)</f>
        <v>180</v>
      </c>
      <c r="D94">
        <v>180</v>
      </c>
      <c r="E94" t="b">
        <f t="array" ref="E94">C94=D94</f>
        <v>1</v>
      </c>
    </row>
    <row r="95" spans="1:5" x14ac:dyDescent="0.2">
      <c r="A95" t="s">
        <v>208</v>
      </c>
      <c r="B95" t="s">
        <v>209</v>
      </c>
      <c r="C95">
        <f t="array" ref="C95">COUPDAYSNC("2020-03-01", "2020-12-31", 2, 0)</f>
        <v>119</v>
      </c>
      <c r="D95">
        <v>120</v>
      </c>
      <c r="E95" t="b">
        <f t="array" ref="E95">C95=D95</f>
        <v>0</v>
      </c>
    </row>
    <row r="96" spans="1:5" x14ac:dyDescent="0.2">
      <c r="A96" t="s">
        <v>210</v>
      </c>
      <c r="B96" t="s">
        <v>211</v>
      </c>
      <c r="C96">
        <f t="array" ref="C96">COUPNCD("2020-03-01", "2020-12-31", 2, 0)</f>
        <v>44012</v>
      </c>
      <c r="D96" s="7">
        <v>44013</v>
      </c>
      <c r="E96" t="b">
        <f t="array" ref="E96">C96=D96</f>
        <v>0</v>
      </c>
    </row>
    <row r="97" spans="1:5" x14ac:dyDescent="0.2">
      <c r="A97" t="s">
        <v>212</v>
      </c>
      <c r="B97" t="s">
        <v>213</v>
      </c>
      <c r="C97">
        <f t="array" ref="C97">COUPNUM("2020-03-01", "2020-12-31", 2, 0)</f>
        <v>2</v>
      </c>
      <c r="D97">
        <v>2</v>
      </c>
      <c r="E97" t="b">
        <f t="array" ref="E97">C97=D97</f>
        <v>1</v>
      </c>
    </row>
    <row r="98" spans="1:5" x14ac:dyDescent="0.2">
      <c r="A98" t="s">
        <v>214</v>
      </c>
      <c r="B98" t="s">
        <v>215</v>
      </c>
      <c r="C98">
        <f t="array" ref="C98">COUPPCD("2020-03-01", "2020-12-31", 2, 0)</f>
        <v>43830</v>
      </c>
      <c r="D98" s="7">
        <v>43831</v>
      </c>
      <c r="E98" t="b">
        <f t="array" ref="E98">C98=D98</f>
        <v>0</v>
      </c>
    </row>
    <row r="99" spans="1:5" x14ac:dyDescent="0.2">
      <c r="A99" t="s">
        <v>216</v>
      </c>
      <c r="B99" t="s">
        <v>217</v>
      </c>
      <c r="C99">
        <f t="array" ref="C99">COVAR({1,2,3}, {4,5,6})</f>
        <v>0.66666666666666663</v>
      </c>
      <c r="D99">
        <v>0.66669999999999996</v>
      </c>
      <c r="E99" t="b">
        <f t="array" ref="E99">C99=D99</f>
        <v>0</v>
      </c>
    </row>
    <row r="100" spans="1:5" x14ac:dyDescent="0.2">
      <c r="A100" t="s">
        <v>218</v>
      </c>
      <c r="B100" t="s">
        <v>219</v>
      </c>
      <c r="C100">
        <f t="array" ref="C100">_xlfn.COVARIANCE.P({1,2,3}, {4,5,6})</f>
        <v>0.66666666666666663</v>
      </c>
      <c r="D100">
        <v>0.66669999999999996</v>
      </c>
      <c r="E100" t="b">
        <f t="array" ref="E100">C100=D100</f>
        <v>0</v>
      </c>
    </row>
    <row r="101" spans="1:5" x14ac:dyDescent="0.2">
      <c r="A101" t="s">
        <v>220</v>
      </c>
      <c r="B101" t="s">
        <v>221</v>
      </c>
      <c r="C101">
        <f t="array" ref="C101">_xlfn.COVARIANCE.S({1,2,3,4,5}, {2,4,6,8,10})</f>
        <v>5</v>
      </c>
      <c r="D101">
        <v>5</v>
      </c>
      <c r="E101" t="b">
        <f t="array" ref="E101">C101=D101</f>
        <v>1</v>
      </c>
    </row>
    <row r="102" spans="1:5" x14ac:dyDescent="0.2">
      <c r="A102" t="s">
        <v>222</v>
      </c>
      <c r="B102" t="s">
        <v>223</v>
      </c>
      <c r="C102">
        <f t="array" ref="C102">CRITBINOM(10, 0.5, 0.75)</f>
        <v>6</v>
      </c>
      <c r="D102">
        <v>6</v>
      </c>
      <c r="E102" t="b">
        <f t="array" ref="E102">C102=D102</f>
        <v>1</v>
      </c>
    </row>
    <row r="103" spans="1:5" x14ac:dyDescent="0.2">
      <c r="A103" t="s">
        <v>224</v>
      </c>
      <c r="B103" t="s">
        <v>225</v>
      </c>
      <c r="C103">
        <f t="array" ref="C103">_xlfn.CSC(PI()/6)</f>
        <v>2.0000000000000004</v>
      </c>
      <c r="D103">
        <v>2</v>
      </c>
      <c r="E103" t="b">
        <f t="array" ref="E103">C103=D103</f>
        <v>1</v>
      </c>
    </row>
    <row r="104" spans="1:5" x14ac:dyDescent="0.2">
      <c r="A104" t="s">
        <v>226</v>
      </c>
      <c r="B104" t="s">
        <v>227</v>
      </c>
      <c r="C104">
        <f t="array" ref="C104">_xlfn.CSCH(1)</f>
        <v>0.85091812823932156</v>
      </c>
      <c r="D104">
        <v>0.85089999999999999</v>
      </c>
      <c r="E104" t="b">
        <f t="array" ref="E104">C104=D104</f>
        <v>0</v>
      </c>
    </row>
    <row r="105" spans="1:5" x14ac:dyDescent="0.2">
      <c r="A105" t="s">
        <v>228</v>
      </c>
      <c r="B105" t="s">
        <v>229</v>
      </c>
      <c r="C105">
        <v>0</v>
      </c>
      <c r="D105" t="s">
        <v>117</v>
      </c>
      <c r="E105" t="b">
        <f t="array" ref="E105">C105=D105</f>
        <v>0</v>
      </c>
    </row>
    <row r="106" spans="1:5" x14ac:dyDescent="0.2">
      <c r="A106" t="s">
        <v>230</v>
      </c>
      <c r="B106" t="s">
        <v>231</v>
      </c>
      <c r="C106">
        <v>0</v>
      </c>
      <c r="D106" t="s">
        <v>117</v>
      </c>
      <c r="E106" t="b">
        <f t="array" ref="E106">C106=D106</f>
        <v>0</v>
      </c>
    </row>
    <row r="107" spans="1:5" x14ac:dyDescent="0.2">
      <c r="A107" t="s">
        <v>232</v>
      </c>
      <c r="B107" t="s">
        <v>233</v>
      </c>
      <c r="C107">
        <v>0</v>
      </c>
      <c r="D107" t="s">
        <v>117</v>
      </c>
      <c r="E107" t="b">
        <f t="array" ref="E107">C107=D107</f>
        <v>0</v>
      </c>
    </row>
    <row r="108" spans="1:5" x14ac:dyDescent="0.2">
      <c r="A108" t="s">
        <v>234</v>
      </c>
      <c r="B108" t="s">
        <v>235</v>
      </c>
      <c r="C108">
        <v>0</v>
      </c>
      <c r="D108" t="s">
        <v>117</v>
      </c>
      <c r="E108" t="b">
        <f t="array" ref="E108">C108=D108</f>
        <v>0</v>
      </c>
    </row>
    <row r="109" spans="1:5" x14ac:dyDescent="0.2">
      <c r="A109" t="s">
        <v>236</v>
      </c>
      <c r="B109" t="s">
        <v>237</v>
      </c>
      <c r="C109">
        <v>0</v>
      </c>
      <c r="D109" t="s">
        <v>117</v>
      </c>
      <c r="E109" t="b">
        <f t="array" ref="E109">C109=D109</f>
        <v>0</v>
      </c>
    </row>
    <row r="110" spans="1:5" x14ac:dyDescent="0.2">
      <c r="A110" t="s">
        <v>238</v>
      </c>
      <c r="B110" t="s">
        <v>239</v>
      </c>
      <c r="C110">
        <v>0</v>
      </c>
      <c r="D110" t="s">
        <v>117</v>
      </c>
      <c r="E110" t="b">
        <f t="array" ref="E110">C110=D110</f>
        <v>0</v>
      </c>
    </row>
    <row r="111" spans="1:5" x14ac:dyDescent="0.2">
      <c r="A111" t="s">
        <v>240</v>
      </c>
      <c r="B111" t="s">
        <v>241</v>
      </c>
      <c r="C111">
        <v>0</v>
      </c>
      <c r="D111" t="s">
        <v>117</v>
      </c>
      <c r="E111" t="b">
        <f t="array" ref="E111">C111=D111</f>
        <v>0</v>
      </c>
    </row>
    <row r="112" spans="1:5" x14ac:dyDescent="0.2">
      <c r="A112" t="s">
        <v>242</v>
      </c>
      <c r="B112" t="s">
        <v>243</v>
      </c>
      <c r="C112">
        <f t="array" ref="C112">CUMIPMT(0.05/12, 60, 50000, 1, 12, 0)</f>
        <v>-2294.9775373266384</v>
      </c>
      <c r="D112">
        <v>-2294.98</v>
      </c>
      <c r="E112" t="b">
        <f t="array" ref="E112">C112=D112</f>
        <v>0</v>
      </c>
    </row>
    <row r="113" spans="1:5" x14ac:dyDescent="0.2">
      <c r="A113" t="s">
        <v>244</v>
      </c>
      <c r="B113" t="s">
        <v>245</v>
      </c>
      <c r="C113">
        <f t="array" ref="C113">CUMPRINC(0.05/12, 60, 50000, 1, 12, 0)</f>
        <v>-9027.762649079923</v>
      </c>
      <c r="D113">
        <v>-9027.76</v>
      </c>
      <c r="E113" t="b">
        <f t="array" ref="E113">C113=D113</f>
        <v>0</v>
      </c>
    </row>
    <row r="114" spans="1:5" x14ac:dyDescent="0.2">
      <c r="A114" t="s">
        <v>246</v>
      </c>
      <c r="B114" t="s">
        <v>247</v>
      </c>
      <c r="C114">
        <f t="array" ref="C114">DATE(2023, 6, 15)</f>
        <v>45092</v>
      </c>
      <c r="D114" s="7">
        <v>45092</v>
      </c>
      <c r="E114" t="b">
        <f t="array" ref="E114">C114=D114</f>
        <v>1</v>
      </c>
    </row>
    <row r="115" spans="1:5" x14ac:dyDescent="0.2">
      <c r="A115" t="s">
        <v>248</v>
      </c>
      <c r="B115" t="s">
        <v>249</v>
      </c>
      <c r="C115">
        <f t="array" ref="C115">DATEDIF("2020-01-01", "2023-06-15", "Y")</f>
        <v>3</v>
      </c>
      <c r="D115">
        <v>3</v>
      </c>
      <c r="E115" t="b">
        <f t="array" ref="E115">C115=D115</f>
        <v>1</v>
      </c>
    </row>
    <row r="116" spans="1:5" x14ac:dyDescent="0.2">
      <c r="A116" t="s">
        <v>250</v>
      </c>
      <c r="B116" t="s">
        <v>251</v>
      </c>
      <c r="C116">
        <f t="array" ref="C116">DATEVALUE("2023-06-15")</f>
        <v>45092</v>
      </c>
      <c r="D116">
        <v>45092</v>
      </c>
      <c r="E116" t="b">
        <f t="array" ref="E116">C116=D116</f>
        <v>1</v>
      </c>
    </row>
    <row r="117" spans="1:5" x14ac:dyDescent="0.2">
      <c r="A117" t="s">
        <v>252</v>
      </c>
      <c r="B117" t="s">
        <v>253</v>
      </c>
      <c r="C117" t="e">
        <f t="array" ref="C117">DAVERAGE(A1:C5, "Value", D1:D2)</f>
        <v>#VALUE!</v>
      </c>
      <c r="D117" t="s">
        <v>254</v>
      </c>
      <c r="E117" t="e">
        <f t="array" ref="E117">C117=D117</f>
        <v>#VALUE!</v>
      </c>
    </row>
    <row r="118" spans="1:5" x14ac:dyDescent="0.2">
      <c r="A118" t="s">
        <v>255</v>
      </c>
      <c r="B118" t="s">
        <v>256</v>
      </c>
      <c r="C118">
        <f t="array" ref="C118">DAY("2023-06-15")</f>
        <v>15</v>
      </c>
      <c r="D118">
        <v>15</v>
      </c>
      <c r="E118" t="b">
        <f t="array" ref="E118">C118=D118</f>
        <v>1</v>
      </c>
    </row>
    <row r="119" spans="1:5" x14ac:dyDescent="0.2">
      <c r="A119" t="s">
        <v>257</v>
      </c>
      <c r="B119" t="s">
        <v>258</v>
      </c>
      <c r="C119">
        <f t="array" ref="C119">_xlfn.DAYS("2023-12-31", "2023-01-01")</f>
        <v>364</v>
      </c>
      <c r="D119">
        <v>364</v>
      </c>
      <c r="E119" t="b">
        <f t="array" ref="E119">C119=D119</f>
        <v>1</v>
      </c>
    </row>
    <row r="120" spans="1:5" x14ac:dyDescent="0.2">
      <c r="A120" t="s">
        <v>259</v>
      </c>
      <c r="B120" t="s">
        <v>260</v>
      </c>
      <c r="C120">
        <f t="array" ref="C120">DAYS360("2023-01-01", "2023-12-31")</f>
        <v>360</v>
      </c>
      <c r="D120">
        <v>360</v>
      </c>
      <c r="E120" t="b">
        <f t="array" ref="E120">C120=D120</f>
        <v>1</v>
      </c>
    </row>
    <row r="121" spans="1:5" x14ac:dyDescent="0.2">
      <c r="A121" t="s">
        <v>261</v>
      </c>
      <c r="B121" t="s">
        <v>262</v>
      </c>
      <c r="C121">
        <f t="array" ref="C121">DB(10000, 1000, 5, 1)</f>
        <v>3690</v>
      </c>
      <c r="D121">
        <v>3690</v>
      </c>
      <c r="E121" t="b">
        <f t="array" ref="E121">C121=D121</f>
        <v>1</v>
      </c>
    </row>
    <row r="122" spans="1:5" x14ac:dyDescent="0.2">
      <c r="A122" t="s">
        <v>263</v>
      </c>
      <c r="B122" t="s">
        <v>264</v>
      </c>
      <c r="C122" t="str">
        <f t="array" ref="C122">DBCS("Test")</f>
        <v>Test</v>
      </c>
      <c r="D122" t="s">
        <v>3</v>
      </c>
      <c r="E122" t="b">
        <f t="array" ref="E122">C122=D122</f>
        <v>1</v>
      </c>
    </row>
    <row r="123" spans="1:5" x14ac:dyDescent="0.2">
      <c r="A123" t="s">
        <v>265</v>
      </c>
      <c r="B123" t="s">
        <v>266</v>
      </c>
      <c r="C123" t="e">
        <f t="array" ref="C123">DCOUNT(A1:C5, "Value", D1:D2)</f>
        <v>#VALUE!</v>
      </c>
      <c r="D123" t="s">
        <v>254</v>
      </c>
      <c r="E123" t="e">
        <f t="array" ref="E123">C123=D123</f>
        <v>#VALUE!</v>
      </c>
    </row>
    <row r="124" spans="1:5" x14ac:dyDescent="0.2">
      <c r="A124" t="s">
        <v>267</v>
      </c>
      <c r="B124" t="s">
        <v>268</v>
      </c>
      <c r="C124" t="e">
        <f t="array" ref="C124">DCOUNTA(A1:C5, "Value", D1:D2)</f>
        <v>#VALUE!</v>
      </c>
      <c r="D124" t="s">
        <v>254</v>
      </c>
      <c r="E124" t="e">
        <f t="array" ref="E124">C124=D124</f>
        <v>#VALUE!</v>
      </c>
    </row>
    <row r="125" spans="1:5" x14ac:dyDescent="0.2">
      <c r="A125" t="s">
        <v>269</v>
      </c>
      <c r="B125" t="s">
        <v>270</v>
      </c>
      <c r="C125">
        <f t="array" ref="C125">DDB(10000, 1000, 5, 1)</f>
        <v>4000</v>
      </c>
      <c r="D125">
        <v>4000</v>
      </c>
      <c r="E125" t="b">
        <f t="array" ref="E125">C125=D125</f>
        <v>1</v>
      </c>
    </row>
    <row r="126" spans="1:5" x14ac:dyDescent="0.2">
      <c r="A126" t="s">
        <v>271</v>
      </c>
      <c r="B126" t="s">
        <v>272</v>
      </c>
      <c r="C126" t="str">
        <f t="array" ref="C126">DEC2BIN(10)</f>
        <v>1010</v>
      </c>
      <c r="D126">
        <v>1010</v>
      </c>
      <c r="E126" t="b">
        <f t="array" ref="E126">C126=D126</f>
        <v>0</v>
      </c>
    </row>
    <row r="127" spans="1:5" x14ac:dyDescent="0.2">
      <c r="A127" t="s">
        <v>273</v>
      </c>
      <c r="B127" t="s">
        <v>274</v>
      </c>
      <c r="C127" t="str">
        <f t="array" ref="C127">DEC2HEX(255)</f>
        <v>FF</v>
      </c>
      <c r="D127" t="s">
        <v>275</v>
      </c>
      <c r="E127" t="b">
        <f t="array" ref="E127">C127=D127</f>
        <v>1</v>
      </c>
    </row>
    <row r="128" spans="1:5" x14ac:dyDescent="0.2">
      <c r="A128" t="s">
        <v>276</v>
      </c>
      <c r="B128" t="s">
        <v>277</v>
      </c>
      <c r="C128" t="str">
        <f t="array" ref="C128">DEC2OCT(64)</f>
        <v>100</v>
      </c>
      <c r="D128">
        <v>100</v>
      </c>
      <c r="E128" t="b">
        <f t="array" ref="E128">C128=D128</f>
        <v>0</v>
      </c>
    </row>
    <row r="129" spans="1:5" x14ac:dyDescent="0.2">
      <c r="A129" t="s">
        <v>278</v>
      </c>
      <c r="B129" t="s">
        <v>279</v>
      </c>
      <c r="C129">
        <f t="array" ref="C129">_xlfn.DECIMAL("FF", 16)</f>
        <v>255</v>
      </c>
      <c r="D129">
        <v>255</v>
      </c>
      <c r="E129" t="b">
        <f t="array" ref="E129">C129=D129</f>
        <v>1</v>
      </c>
    </row>
    <row r="130" spans="1:5" x14ac:dyDescent="0.2">
      <c r="A130" t="s">
        <v>280</v>
      </c>
      <c r="B130" t="s">
        <v>281</v>
      </c>
      <c r="C130">
        <f t="array" ref="C130">DEGREES(PI())</f>
        <v>180</v>
      </c>
      <c r="D130">
        <v>180</v>
      </c>
      <c r="E130" t="b">
        <f t="array" ref="E130">C130=D130</f>
        <v>1</v>
      </c>
    </row>
    <row r="131" spans="1:5" x14ac:dyDescent="0.2">
      <c r="A131" t="s">
        <v>282</v>
      </c>
      <c r="B131" t="s">
        <v>283</v>
      </c>
      <c r="C131">
        <f t="array" ref="C131">DELTA(5, 5)</f>
        <v>1</v>
      </c>
      <c r="D131">
        <v>1</v>
      </c>
      <c r="E131" t="b">
        <f t="array" ref="E131">C131=D131</f>
        <v>1</v>
      </c>
    </row>
    <row r="132" spans="1:5" x14ac:dyDescent="0.2">
      <c r="A132" t="s">
        <v>284</v>
      </c>
      <c r="B132" t="s">
        <v>285</v>
      </c>
      <c r="C132" t="e">
        <f t="array" aca="1" ref="C132" ca="1">_xludf.DETECTLANGUAGE("Hello")</f>
        <v>#NAME?</v>
      </c>
      <c r="D132" t="s">
        <v>286</v>
      </c>
      <c r="E132" t="e">
        <f t="array" aca="1" ref="E132" ca="1">C132=D132</f>
        <v>#NAME?</v>
      </c>
    </row>
    <row r="133" spans="1:5" x14ac:dyDescent="0.2">
      <c r="A133" t="s">
        <v>287</v>
      </c>
      <c r="B133" t="s">
        <v>288</v>
      </c>
      <c r="C133">
        <f t="array" ref="C133">DEVSQ(1, 2, 3, 4, 5)</f>
        <v>10</v>
      </c>
      <c r="D133">
        <v>10</v>
      </c>
      <c r="E133" t="b">
        <f t="array" ref="E133">C133=D133</f>
        <v>1</v>
      </c>
    </row>
    <row r="134" spans="1:5" x14ac:dyDescent="0.2">
      <c r="A134" t="s">
        <v>289</v>
      </c>
      <c r="B134" t="s">
        <v>290</v>
      </c>
      <c r="C134" t="e">
        <f t="array" ref="C134">DGET(A1:C5, "Value", D1:D2)</f>
        <v>#VALUE!</v>
      </c>
      <c r="D134" t="s">
        <v>254</v>
      </c>
      <c r="E134" t="e">
        <f t="array" ref="E134">C134=D134</f>
        <v>#VALUE!</v>
      </c>
    </row>
    <row r="135" spans="1:5" x14ac:dyDescent="0.2">
      <c r="A135" t="s">
        <v>291</v>
      </c>
      <c r="B135" t="s">
        <v>292</v>
      </c>
      <c r="C135">
        <f t="array" ref="C135">DISC("2023-01-01", "2023-12-31", 97, 100)</f>
        <v>3.0000000000000027E-2</v>
      </c>
      <c r="D135">
        <v>3.04E-2</v>
      </c>
      <c r="E135" t="b">
        <f t="array" ref="E135">C135=D135</f>
        <v>0</v>
      </c>
    </row>
    <row r="136" spans="1:5" x14ac:dyDescent="0.2">
      <c r="A136" t="s">
        <v>293</v>
      </c>
      <c r="B136" t="s">
        <v>294</v>
      </c>
      <c r="C136" t="e">
        <f t="array" ref="C136">DMAX(A1:C5, "Value", D1:D2)</f>
        <v>#VALUE!</v>
      </c>
      <c r="D136" t="s">
        <v>254</v>
      </c>
      <c r="E136" t="e">
        <f t="array" ref="E136">C136=D136</f>
        <v>#VALUE!</v>
      </c>
    </row>
    <row r="137" spans="1:5" x14ac:dyDescent="0.2">
      <c r="A137" t="s">
        <v>295</v>
      </c>
      <c r="B137" t="s">
        <v>296</v>
      </c>
      <c r="C137" t="e">
        <f t="array" ref="C137">DMIN(A1:C5, "Value", D1:D2)</f>
        <v>#VALUE!</v>
      </c>
      <c r="D137" t="s">
        <v>254</v>
      </c>
      <c r="E137" t="e">
        <f t="array" ref="E137">C137=D137</f>
        <v>#VALUE!</v>
      </c>
    </row>
    <row r="138" spans="1:5" x14ac:dyDescent="0.2">
      <c r="A138" t="s">
        <v>297</v>
      </c>
      <c r="B138" t="s">
        <v>298</v>
      </c>
      <c r="C138" t="str">
        <f t="array" ref="C138">DOLLAR(1234.567, 2)</f>
        <v>$1,234.57</v>
      </c>
      <c r="D138" s="8">
        <v>1234.57</v>
      </c>
      <c r="E138" t="b">
        <f t="array" ref="E138">C138=D138</f>
        <v>0</v>
      </c>
    </row>
    <row r="139" spans="1:5" x14ac:dyDescent="0.2">
      <c r="A139" t="s">
        <v>299</v>
      </c>
      <c r="B139" t="s">
        <v>300</v>
      </c>
      <c r="C139">
        <f t="array" ref="C139">DOLLARDE(1.02, 16)</f>
        <v>1.125</v>
      </c>
      <c r="D139">
        <v>1.125</v>
      </c>
      <c r="E139" t="b">
        <f t="array" ref="E139">C139=D139</f>
        <v>1</v>
      </c>
    </row>
    <row r="140" spans="1:5" x14ac:dyDescent="0.2">
      <c r="A140" t="s">
        <v>301</v>
      </c>
      <c r="B140" t="s">
        <v>302</v>
      </c>
      <c r="C140">
        <f t="array" ref="C140">DOLLARFR(1.125, 16)</f>
        <v>1.02</v>
      </c>
      <c r="D140">
        <v>1.02</v>
      </c>
      <c r="E140" t="b">
        <f t="array" ref="E140">C140=D140</f>
        <v>1</v>
      </c>
    </row>
    <row r="141" spans="1:5" x14ac:dyDescent="0.2">
      <c r="A141" t="s">
        <v>303</v>
      </c>
      <c r="B141" t="s">
        <v>304</v>
      </c>
      <c r="C141" t="e">
        <f t="array" ref="C141">DPRODUCT(A1:C5, "Value", D1:D2)</f>
        <v>#VALUE!</v>
      </c>
      <c r="D141" t="s">
        <v>254</v>
      </c>
      <c r="E141" t="e">
        <f t="array" ref="E141">C141=D141</f>
        <v>#VALUE!</v>
      </c>
    </row>
    <row r="142" spans="1:5" x14ac:dyDescent="0.2">
      <c r="A142" t="s">
        <v>305</v>
      </c>
      <c r="B142" t="s">
        <v>306</v>
      </c>
      <c r="C142" t="e" cm="1" vm="1">
        <f t="array" ref="C142">_xlfn.DROP({1,2,3,4,5}, 2)</f>
        <v>#VALUE!</v>
      </c>
      <c r="D142" t="s">
        <v>307</v>
      </c>
      <c r="E142" t="e" vm="2">
        <f t="array" ref="E142">C142=D142</f>
        <v>#VALUE!</v>
      </c>
    </row>
    <row r="143" spans="1:5" x14ac:dyDescent="0.2">
      <c r="A143" t="s">
        <v>308</v>
      </c>
      <c r="B143" t="s">
        <v>309</v>
      </c>
      <c r="C143" t="e">
        <f t="array" ref="C143">DSTDEV(A1:C5, "Value", D1:D2)</f>
        <v>#VALUE!</v>
      </c>
      <c r="D143" t="s">
        <v>254</v>
      </c>
      <c r="E143" t="e">
        <f t="array" ref="E143">C143=D143</f>
        <v>#VALUE!</v>
      </c>
    </row>
    <row r="144" spans="1:5" x14ac:dyDescent="0.2">
      <c r="A144" t="s">
        <v>310</v>
      </c>
      <c r="B144" t="s">
        <v>311</v>
      </c>
      <c r="C144" t="e">
        <f t="array" ref="C144">DSTDEVP(A1:C5, "Value", D1:D2)</f>
        <v>#VALUE!</v>
      </c>
      <c r="D144" t="s">
        <v>254</v>
      </c>
      <c r="E144" t="e">
        <f t="array" ref="E144">C144=D144</f>
        <v>#VALUE!</v>
      </c>
    </row>
    <row r="145" spans="1:5" x14ac:dyDescent="0.2">
      <c r="A145" t="s">
        <v>312</v>
      </c>
      <c r="B145" t="s">
        <v>313</v>
      </c>
      <c r="C145" t="e">
        <f t="array" ref="C145">DSUM(A1:C5, "Value", D1:D2)</f>
        <v>#VALUE!</v>
      </c>
      <c r="D145" t="s">
        <v>254</v>
      </c>
      <c r="E145" t="e">
        <f t="array" ref="E145">C145=D145</f>
        <v>#VALUE!</v>
      </c>
    </row>
    <row r="146" spans="1:5" x14ac:dyDescent="0.2">
      <c r="A146" t="s">
        <v>314</v>
      </c>
      <c r="B146" t="s">
        <v>315</v>
      </c>
      <c r="C146">
        <f t="array" ref="C146">DURATION("2020-01-01", "2025-01-01", 0.05, 0.06, 2)</f>
        <v>4.4716786075812625</v>
      </c>
      <c r="D146">
        <v>4.37</v>
      </c>
      <c r="E146" t="b">
        <f t="array" ref="E146">C146=D146</f>
        <v>0</v>
      </c>
    </row>
    <row r="147" spans="1:5" x14ac:dyDescent="0.2">
      <c r="A147" t="s">
        <v>316</v>
      </c>
      <c r="B147" t="s">
        <v>317</v>
      </c>
      <c r="C147" t="e">
        <f t="array" ref="C147">DVAR(A1:C5, "Value", D1:D2)</f>
        <v>#VALUE!</v>
      </c>
      <c r="D147" t="s">
        <v>254</v>
      </c>
      <c r="E147" t="e">
        <f t="array" ref="E147">C147=D147</f>
        <v>#VALUE!</v>
      </c>
    </row>
    <row r="148" spans="1:5" x14ac:dyDescent="0.2">
      <c r="A148" t="s">
        <v>318</v>
      </c>
      <c r="B148" t="s">
        <v>319</v>
      </c>
      <c r="C148" t="e">
        <f t="array" ref="C148">DVARP(A1:C5, "Value", D1:D2)</f>
        <v>#VALUE!</v>
      </c>
      <c r="D148" t="s">
        <v>254</v>
      </c>
      <c r="E148" t="e">
        <f t="array" ref="E148">C148=D148</f>
        <v>#VALUE!</v>
      </c>
    </row>
    <row r="149" spans="1:5" x14ac:dyDescent="0.2">
      <c r="A149" t="s">
        <v>320</v>
      </c>
      <c r="B149" t="s">
        <v>321</v>
      </c>
      <c r="C149">
        <f t="array" ref="C149">EDATE("2023-01-15", 3)</f>
        <v>45031</v>
      </c>
      <c r="D149" s="7">
        <v>45031</v>
      </c>
      <c r="E149" t="b">
        <f t="array" ref="E149">C149=D149</f>
        <v>1</v>
      </c>
    </row>
    <row r="150" spans="1:5" x14ac:dyDescent="0.2">
      <c r="A150" t="s">
        <v>322</v>
      </c>
      <c r="B150" t="s">
        <v>323</v>
      </c>
      <c r="C150">
        <f t="array" ref="C150">EFFECT(0.1, 4)</f>
        <v>0.10381289062499977</v>
      </c>
      <c r="D150">
        <v>0.1038</v>
      </c>
      <c r="E150" t="b">
        <f t="array" ref="E150">C150=D150</f>
        <v>0</v>
      </c>
    </row>
    <row r="151" spans="1:5" x14ac:dyDescent="0.2">
      <c r="A151" t="s">
        <v>324</v>
      </c>
      <c r="B151" t="s">
        <v>325</v>
      </c>
      <c r="C151" t="e">
        <f t="array" aca="1" ref="C151" ca="1">ENCODEURL("Hello World")</f>
        <v>#NAME?</v>
      </c>
      <c r="D151" t="s">
        <v>326</v>
      </c>
      <c r="E151" t="e">
        <f t="array" aca="1" ref="E151" ca="1">C151=D151</f>
        <v>#NAME?</v>
      </c>
    </row>
    <row r="152" spans="1:5" x14ac:dyDescent="0.2">
      <c r="A152" t="s">
        <v>327</v>
      </c>
      <c r="B152" t="s">
        <v>328</v>
      </c>
      <c r="C152">
        <f t="array" ref="C152">EOMONTH("2023-01-15", 1)</f>
        <v>44985</v>
      </c>
      <c r="D152" s="7">
        <v>44985</v>
      </c>
      <c r="E152" t="b">
        <f t="array" ref="E152">C152=D152</f>
        <v>1</v>
      </c>
    </row>
    <row r="153" spans="1:5" x14ac:dyDescent="0.2">
      <c r="A153" t="s">
        <v>329</v>
      </c>
      <c r="B153" t="s">
        <v>330</v>
      </c>
      <c r="C153">
        <f t="array" ref="C153">ERF(1)</f>
        <v>0.84270079294971489</v>
      </c>
      <c r="D153">
        <v>0.8427</v>
      </c>
      <c r="E153" t="b">
        <f t="array" ref="E153">C153=D153</f>
        <v>0</v>
      </c>
    </row>
    <row r="154" spans="1:5" x14ac:dyDescent="0.2">
      <c r="A154" t="s">
        <v>331</v>
      </c>
      <c r="B154" t="s">
        <v>332</v>
      </c>
      <c r="C154">
        <f t="array" ref="C154">_xlfn.ERF.PRECISE(1)</f>
        <v>0.84270079294971489</v>
      </c>
      <c r="D154">
        <v>0.8427</v>
      </c>
      <c r="E154" t="b">
        <f t="array" ref="E154">C154=D154</f>
        <v>0</v>
      </c>
    </row>
    <row r="155" spans="1:5" x14ac:dyDescent="0.2">
      <c r="A155" t="s">
        <v>333</v>
      </c>
      <c r="B155" t="s">
        <v>334</v>
      </c>
      <c r="C155">
        <f t="array" ref="C155">ERFC(1)</f>
        <v>0.15729920705028513</v>
      </c>
      <c r="D155">
        <v>0.1573</v>
      </c>
      <c r="E155" t="b">
        <f t="array" ref="E155">C155=D155</f>
        <v>0</v>
      </c>
    </row>
    <row r="156" spans="1:5" x14ac:dyDescent="0.2">
      <c r="A156" t="s">
        <v>335</v>
      </c>
      <c r="B156" t="s">
        <v>336</v>
      </c>
      <c r="C156">
        <f t="array" ref="C156">_xlfn.ERFC.PRECISE(1)</f>
        <v>0.15729920705028513</v>
      </c>
      <c r="D156">
        <v>0.1573</v>
      </c>
      <c r="E156" t="b">
        <f t="array" ref="E156">C156=D156</f>
        <v>0</v>
      </c>
    </row>
    <row r="157" spans="1:5" x14ac:dyDescent="0.2">
      <c r="A157" t="s">
        <v>337</v>
      </c>
      <c r="B157" t="s">
        <v>338</v>
      </c>
      <c r="C157">
        <f t="array" ref="C157">ERROR.TYPE(NA())</f>
        <v>7</v>
      </c>
      <c r="D157">
        <v>7</v>
      </c>
      <c r="E157" t="b">
        <f t="array" ref="E157">C157=D157</f>
        <v>1</v>
      </c>
    </row>
    <row r="158" spans="1:5" x14ac:dyDescent="0.2">
      <c r="A158" t="s">
        <v>339</v>
      </c>
      <c r="B158" t="s">
        <v>340</v>
      </c>
      <c r="C158" t="e">
        <f t="array" aca="1" ref="C158" ca="1">EUROCONVERT(100, "EUR", "DEM")</f>
        <v>#NAME?</v>
      </c>
      <c r="D158">
        <v>195.58</v>
      </c>
      <c r="E158" t="e">
        <f t="array" aca="1" ref="E158" ca="1">C158=D158</f>
        <v>#NAME?</v>
      </c>
    </row>
    <row r="159" spans="1:5" x14ac:dyDescent="0.2">
      <c r="A159" t="s">
        <v>341</v>
      </c>
      <c r="B159" t="s">
        <v>342</v>
      </c>
      <c r="C159">
        <f t="array" ref="C159">EVEN(3)</f>
        <v>4</v>
      </c>
      <c r="D159">
        <v>4</v>
      </c>
      <c r="E159" t="b">
        <f t="array" ref="E159">C159=D159</f>
        <v>1</v>
      </c>
    </row>
    <row r="160" spans="1:5" x14ac:dyDescent="0.2">
      <c r="A160" t="s">
        <v>343</v>
      </c>
      <c r="B160" t="s">
        <v>344</v>
      </c>
      <c r="C160" t="b">
        <f t="array" ref="C160">EXACT("Hello", "Hello")</f>
        <v>1</v>
      </c>
      <c r="D160" t="b">
        <v>1</v>
      </c>
      <c r="E160" t="b">
        <f t="array" ref="E160">C160=D160</f>
        <v>1</v>
      </c>
    </row>
    <row r="161" spans="1:5" x14ac:dyDescent="0.2">
      <c r="A161" t="s">
        <v>345</v>
      </c>
      <c r="B161" t="s">
        <v>346</v>
      </c>
      <c r="C161">
        <f t="array" ref="C161">EXP(1)</f>
        <v>2.7182818284590451</v>
      </c>
      <c r="D161">
        <v>2.7183000000000002</v>
      </c>
      <c r="E161" t="b">
        <f t="array" ref="E161">C161=D161</f>
        <v>0</v>
      </c>
    </row>
    <row r="162" spans="1:5" x14ac:dyDescent="0.2">
      <c r="A162" t="s">
        <v>347</v>
      </c>
      <c r="B162" t="s">
        <v>348</v>
      </c>
      <c r="D162" t="s">
        <v>349</v>
      </c>
      <c r="E162" t="b">
        <f t="array" ref="E162">C162=D162</f>
        <v>0</v>
      </c>
    </row>
    <row r="163" spans="1:5" x14ac:dyDescent="0.2">
      <c r="A163" t="s">
        <v>350</v>
      </c>
      <c r="B163" t="s">
        <v>351</v>
      </c>
      <c r="C163">
        <f t="array" ref="C163">_xlfn.EXPON.DIST(1, 0.5, TRUE)</f>
        <v>0.39346934028736658</v>
      </c>
      <c r="D163">
        <v>0.39350000000000002</v>
      </c>
      <c r="E163" t="b">
        <f t="array" ref="E163">C163=D163</f>
        <v>0</v>
      </c>
    </row>
    <row r="164" spans="1:5" x14ac:dyDescent="0.2">
      <c r="A164" t="s">
        <v>352</v>
      </c>
      <c r="B164" t="s">
        <v>353</v>
      </c>
      <c r="C164">
        <f t="array" ref="C164">EXPONDIST(1, 0.5, TRUE)</f>
        <v>0.39346934028736658</v>
      </c>
      <c r="D164">
        <v>0.39350000000000002</v>
      </c>
      <c r="E164" t="b">
        <f t="array" ref="E164">C164=D164</f>
        <v>0</v>
      </c>
    </row>
    <row r="165" spans="1:5" x14ac:dyDescent="0.2">
      <c r="A165" t="s">
        <v>354</v>
      </c>
      <c r="B165" t="s">
        <v>355</v>
      </c>
      <c r="C165">
        <f t="array" ref="C165">FACT(5)</f>
        <v>120</v>
      </c>
      <c r="D165">
        <v>120</v>
      </c>
      <c r="E165" t="b">
        <f t="array" ref="E165">C165=D165</f>
        <v>1</v>
      </c>
    </row>
    <row r="166" spans="1:5" x14ac:dyDescent="0.2">
      <c r="A166" t="s">
        <v>356</v>
      </c>
      <c r="B166" t="s">
        <v>357</v>
      </c>
      <c r="C166">
        <f t="array" ref="C166">FACTDOUBLE(7)</f>
        <v>105</v>
      </c>
      <c r="D166">
        <v>105</v>
      </c>
      <c r="E166" t="b">
        <f t="array" ref="E166">C166=D166</f>
        <v>1</v>
      </c>
    </row>
    <row r="167" spans="1:5" x14ac:dyDescent="0.2">
      <c r="A167" t="b">
        <v>0</v>
      </c>
      <c r="B167" t="s">
        <v>358</v>
      </c>
      <c r="C167" t="b">
        <f t="array" ref="C167">FALSE()</f>
        <v>0</v>
      </c>
      <c r="D167" t="b">
        <v>0</v>
      </c>
      <c r="E167" t="b">
        <f t="array" ref="E167">C167=D167</f>
        <v>1</v>
      </c>
    </row>
    <row r="168" spans="1:5" x14ac:dyDescent="0.2">
      <c r="A168" t="s">
        <v>359</v>
      </c>
      <c r="B168" t="s">
        <v>360</v>
      </c>
      <c r="C168">
        <f t="array" ref="C168">_xlfn.F.DIST(2, 5, 10, TRUE)</f>
        <v>0.83580504910026121</v>
      </c>
      <c r="D168">
        <v>0.82699999999999996</v>
      </c>
      <c r="E168" t="b">
        <f t="array" ref="E168">C168=D168</f>
        <v>0</v>
      </c>
    </row>
    <row r="169" spans="1:5" x14ac:dyDescent="0.2">
      <c r="A169" t="s">
        <v>361</v>
      </c>
      <c r="B169" t="s">
        <v>362</v>
      </c>
      <c r="C169">
        <f t="array" ref="C169">FDIST(2, 5, 10)</f>
        <v>0.16419495089973882</v>
      </c>
      <c r="D169">
        <v>0.17299999999999999</v>
      </c>
      <c r="E169" t="b">
        <f t="array" ref="E169">C169=D169</f>
        <v>0</v>
      </c>
    </row>
    <row r="170" spans="1:5" x14ac:dyDescent="0.2">
      <c r="A170" t="s">
        <v>363</v>
      </c>
      <c r="B170" t="s">
        <v>364</v>
      </c>
      <c r="C170">
        <f t="array" ref="C170">_xlfn.F.DIST.RT(2, 5, 10)</f>
        <v>0.16419495089973882</v>
      </c>
      <c r="D170">
        <v>0.17299999999999999</v>
      </c>
      <c r="E170" t="b">
        <f t="array" ref="E170">C170=D170</f>
        <v>0</v>
      </c>
    </row>
    <row r="171" spans="1:5" x14ac:dyDescent="0.2">
      <c r="A171" t="s">
        <v>365</v>
      </c>
      <c r="B171" t="s">
        <v>366</v>
      </c>
      <c r="D171" t="s">
        <v>367</v>
      </c>
      <c r="E171" t="b">
        <f t="array" ref="E171">C171=D171</f>
        <v>0</v>
      </c>
    </row>
    <row r="172" spans="1:5" x14ac:dyDescent="0.2">
      <c r="A172" t="s">
        <v>368</v>
      </c>
      <c r="B172" t="s">
        <v>369</v>
      </c>
      <c r="C172" t="e" vm="3">
        <f t="array" aca="1" ref="C172" ca="1">_xlfn.FILTERXML("&lt;root&gt;&lt;a&gt;1&lt;/a&gt;&lt;/root&gt;", "//a")</f>
        <v>#NAME?</v>
      </c>
      <c r="D172">
        <v>1</v>
      </c>
      <c r="E172" t="e" vm="4">
        <f t="array" aca="1" ref="E172" ca="1">C172=D172</f>
        <v>#NAME?</v>
      </c>
    </row>
    <row r="173" spans="1:5" x14ac:dyDescent="0.2">
      <c r="A173" t="s">
        <v>370</v>
      </c>
      <c r="B173" t="s">
        <v>371</v>
      </c>
      <c r="C173">
        <f t="array" ref="C173">FIND("l", "Hello")</f>
        <v>3</v>
      </c>
      <c r="D173">
        <v>3</v>
      </c>
      <c r="E173" t="b">
        <f t="array" ref="E173">C173=D173</f>
        <v>1</v>
      </c>
    </row>
    <row r="174" spans="1:5" x14ac:dyDescent="0.2">
      <c r="A174" t="s">
        <v>372</v>
      </c>
      <c r="B174" t="s">
        <v>373</v>
      </c>
      <c r="C174">
        <f t="array" ref="C174">FINDB("l", "Hello")</f>
        <v>3</v>
      </c>
      <c r="D174">
        <v>3</v>
      </c>
      <c r="E174" t="b">
        <f t="array" ref="E174">C174=D174</f>
        <v>1</v>
      </c>
    </row>
    <row r="175" spans="1:5" x14ac:dyDescent="0.2">
      <c r="A175" t="s">
        <v>374</v>
      </c>
      <c r="B175" t="s">
        <v>375</v>
      </c>
      <c r="C175">
        <f t="array" ref="C175">_xlfn.F.INV(0.9, 5, 10)</f>
        <v>2.5216406862096243</v>
      </c>
      <c r="D175">
        <v>2.5215999999999998</v>
      </c>
      <c r="E175" t="b">
        <f t="array" ref="E175">C175=D175</f>
        <v>0</v>
      </c>
    </row>
    <row r="176" spans="1:5" x14ac:dyDescent="0.2">
      <c r="A176" t="s">
        <v>376</v>
      </c>
      <c r="B176" t="s">
        <v>377</v>
      </c>
      <c r="C176">
        <f t="array" ref="C176">_xlfn.F.INV.RT(0.1, 5, 10)</f>
        <v>2.5216406862096243</v>
      </c>
      <c r="D176">
        <v>2.5215999999999998</v>
      </c>
      <c r="E176" t="b">
        <f t="array" ref="E176">C176=D176</f>
        <v>0</v>
      </c>
    </row>
    <row r="177" spans="1:5" x14ac:dyDescent="0.2">
      <c r="A177" t="s">
        <v>378</v>
      </c>
      <c r="B177" t="s">
        <v>379</v>
      </c>
      <c r="C177">
        <f t="array" ref="C177">FINV(0.1, 5, 10)</f>
        <v>2.5216406862096243</v>
      </c>
      <c r="D177">
        <v>2.5215999999999998</v>
      </c>
      <c r="E177" t="b">
        <f t="array" ref="E177">C177=D177</f>
        <v>0</v>
      </c>
    </row>
    <row r="178" spans="1:5" x14ac:dyDescent="0.2">
      <c r="A178" t="s">
        <v>380</v>
      </c>
      <c r="B178" t="s">
        <v>381</v>
      </c>
      <c r="C178">
        <f t="array" ref="C178">FISHER(0.5)</f>
        <v>0.54930614433405489</v>
      </c>
      <c r="D178">
        <v>0.54930000000000001</v>
      </c>
      <c r="E178" t="b">
        <f t="array" ref="E178">C178=D178</f>
        <v>0</v>
      </c>
    </row>
    <row r="179" spans="1:5" x14ac:dyDescent="0.2">
      <c r="A179" t="s">
        <v>382</v>
      </c>
      <c r="B179" t="s">
        <v>383</v>
      </c>
      <c r="C179">
        <f t="array" ref="C179">FISHERINV(0.5493)</f>
        <v>0.49999539173530161</v>
      </c>
      <c r="D179">
        <v>0.5</v>
      </c>
      <c r="E179" t="b">
        <f t="array" ref="E179">C179=D179</f>
        <v>0</v>
      </c>
    </row>
    <row r="180" spans="1:5" x14ac:dyDescent="0.2">
      <c r="A180" t="s">
        <v>384</v>
      </c>
      <c r="B180" t="s">
        <v>385</v>
      </c>
      <c r="C180" t="str">
        <f t="array" ref="C180">FIXED(1234.567, 2)</f>
        <v>1,234.57</v>
      </c>
      <c r="D180" s="8">
        <v>1234.57</v>
      </c>
      <c r="E180" t="b">
        <f t="array" ref="E180">C180=D180</f>
        <v>0</v>
      </c>
    </row>
    <row r="181" spans="1:5" x14ac:dyDescent="0.2">
      <c r="A181" t="s">
        <v>386</v>
      </c>
      <c r="B181" t="s">
        <v>387</v>
      </c>
      <c r="C181">
        <f t="array" ref="C181">FLOOR(3.7, 1)</f>
        <v>3</v>
      </c>
      <c r="D181">
        <v>3</v>
      </c>
      <c r="E181" t="b">
        <f t="array" ref="E181">C181=D181</f>
        <v>1</v>
      </c>
    </row>
    <row r="182" spans="1:5" x14ac:dyDescent="0.2">
      <c r="A182" t="s">
        <v>388</v>
      </c>
      <c r="B182" t="s">
        <v>389</v>
      </c>
      <c r="C182">
        <f t="array" ref="C182">_xlfn.FLOOR.MATH(-3.2)</f>
        <v>-4</v>
      </c>
      <c r="D182">
        <v>-4</v>
      </c>
      <c r="E182" t="b">
        <f t="array" ref="E182">C182=D182</f>
        <v>1</v>
      </c>
    </row>
    <row r="183" spans="1:5" x14ac:dyDescent="0.2">
      <c r="A183" t="s">
        <v>390</v>
      </c>
      <c r="B183" t="s">
        <v>391</v>
      </c>
      <c r="C183">
        <f t="array" ref="C183">_xlfn.FLOOR.PRECISE(3.7, 2)</f>
        <v>2</v>
      </c>
      <c r="D183">
        <v>2</v>
      </c>
      <c r="E183" t="b">
        <f t="array" ref="E183">C183=D183</f>
        <v>1</v>
      </c>
    </row>
    <row r="184" spans="1:5" x14ac:dyDescent="0.2">
      <c r="A184" t="s">
        <v>392</v>
      </c>
      <c r="B184" t="s">
        <v>393</v>
      </c>
      <c r="C184">
        <f t="array" ref="C184">FORECAST(6, {2,4,6,8,10}, {1,2,3,4,5})</f>
        <v>12</v>
      </c>
      <c r="D184">
        <v>12</v>
      </c>
      <c r="E184" t="b">
        <f t="array" ref="E184">C184=D184</f>
        <v>1</v>
      </c>
    </row>
    <row r="185" spans="1:5" x14ac:dyDescent="0.2">
      <c r="A185" t="s">
        <v>394</v>
      </c>
      <c r="B185" t="s">
        <v>395</v>
      </c>
      <c r="C185">
        <f t="array" ref="C185">_xlfn.FORECAST.ETS(6, {2,4,6,8,10}, {1,2,3,4,5})</f>
        <v>12</v>
      </c>
      <c r="D185">
        <v>12</v>
      </c>
      <c r="E185" t="b">
        <f t="array" ref="E185">C185=D185</f>
        <v>1</v>
      </c>
    </row>
    <row r="186" spans="1:5" x14ac:dyDescent="0.2">
      <c r="A186" t="s">
        <v>396</v>
      </c>
      <c r="B186" t="s">
        <v>397</v>
      </c>
      <c r="C186">
        <f t="array" ref="C186">_xlfn.FORECAST.ETS.CONFINT(6, {2,4,6,8,10}, {1,2,3,4,5})</f>
        <v>0</v>
      </c>
      <c r="D186" t="s">
        <v>254</v>
      </c>
      <c r="E186" t="b">
        <f t="array" ref="E186">C186=D186</f>
        <v>0</v>
      </c>
    </row>
    <row r="187" spans="1:5" x14ac:dyDescent="0.2">
      <c r="A187" t="s">
        <v>398</v>
      </c>
      <c r="B187" t="s">
        <v>399</v>
      </c>
      <c r="C187">
        <f t="array" ref="C187">_xlfn.FORECAST.ETS.SEASONALITY({2,4,6,8,10}, {1,2,3,4,5})</f>
        <v>0</v>
      </c>
      <c r="D187" t="s">
        <v>254</v>
      </c>
      <c r="E187" t="b">
        <f t="array" ref="E187">C187=D187</f>
        <v>0</v>
      </c>
    </row>
    <row r="188" spans="1:5" x14ac:dyDescent="0.2">
      <c r="A188" t="s">
        <v>400</v>
      </c>
      <c r="B188" t="s">
        <v>401</v>
      </c>
      <c r="C188">
        <v>0</v>
      </c>
      <c r="D188" t="s">
        <v>254</v>
      </c>
      <c r="E188" t="b">
        <f t="array" ref="E188">C188=D188</f>
        <v>0</v>
      </c>
    </row>
    <row r="189" spans="1:5" x14ac:dyDescent="0.2">
      <c r="A189" t="s">
        <v>402</v>
      </c>
      <c r="B189" t="s">
        <v>403</v>
      </c>
      <c r="C189">
        <f t="array" ref="C189">_xlfn.FORECAST.LINEAR(6, {2,4,6,8,10}, {1,2,3,4,5})</f>
        <v>12</v>
      </c>
      <c r="D189">
        <v>12</v>
      </c>
      <c r="E189" t="b">
        <f t="array" ref="E189">C189=D189</f>
        <v>1</v>
      </c>
    </row>
    <row r="190" spans="1:5" x14ac:dyDescent="0.2">
      <c r="A190" t="s">
        <v>404</v>
      </c>
      <c r="B190" t="s">
        <v>405</v>
      </c>
      <c r="C190" t="e">
        <f t="array" aca="1" ref="C190" ca="1">_xlfn.FORMULATEXT(A1)</f>
        <v>#N/A</v>
      </c>
      <c r="D190" t="s">
        <v>2</v>
      </c>
      <c r="E190" t="e">
        <f t="array" aca="1" ref="E190" ca="1">C190=D190</f>
        <v>#N/A</v>
      </c>
    </row>
    <row r="191" spans="1:5" x14ac:dyDescent="0.2">
      <c r="A191" t="s">
        <v>406</v>
      </c>
      <c r="B191" t="s">
        <v>407</v>
      </c>
      <c r="D191" t="s">
        <v>408</v>
      </c>
      <c r="E191" t="b">
        <f t="array" ref="E191">C191=D191</f>
        <v>0</v>
      </c>
    </row>
    <row r="192" spans="1:5" x14ac:dyDescent="0.2">
      <c r="A192" t="s">
        <v>409</v>
      </c>
      <c r="B192" t="s">
        <v>410</v>
      </c>
      <c r="C192">
        <f t="array" ref="C192">_xlfn.F.TEST({1,2,3}, {4,5,6})</f>
        <v>1</v>
      </c>
      <c r="D192">
        <v>1</v>
      </c>
      <c r="E192" t="b">
        <f t="array" ref="E192">C192=D192</f>
        <v>1</v>
      </c>
    </row>
    <row r="193" spans="1:5" x14ac:dyDescent="0.2">
      <c r="A193" t="s">
        <v>411</v>
      </c>
      <c r="B193" t="s">
        <v>412</v>
      </c>
      <c r="C193">
        <f t="array" ref="C193">FTEST({1,2,3}, {4,5,6})</f>
        <v>1</v>
      </c>
      <c r="D193">
        <v>1</v>
      </c>
      <c r="E193" t="b">
        <f t="array" ref="E193">C193=D193</f>
        <v>1</v>
      </c>
    </row>
    <row r="194" spans="1:5" x14ac:dyDescent="0.2">
      <c r="A194" t="s">
        <v>413</v>
      </c>
      <c r="B194" t="s">
        <v>414</v>
      </c>
      <c r="C194">
        <f t="array" ref="C194">FV(0.05, 10, -100)</f>
        <v>1257.7892535548831</v>
      </c>
      <c r="D194">
        <v>1257.79</v>
      </c>
      <c r="E194" t="b">
        <f t="array" ref="E194">C194=D194</f>
        <v>0</v>
      </c>
    </row>
    <row r="195" spans="1:5" x14ac:dyDescent="0.2">
      <c r="A195" t="s">
        <v>415</v>
      </c>
      <c r="B195" t="s">
        <v>416</v>
      </c>
      <c r="C195">
        <f t="array" ref="C195">FVSCHEDULE(1000, {0.05,0.06,0.07})</f>
        <v>1190.9100000000001</v>
      </c>
      <c r="D195">
        <v>1190.9100000000001</v>
      </c>
      <c r="E195" t="b">
        <f t="array" ref="E195">C195=D195</f>
        <v>1</v>
      </c>
    </row>
    <row r="196" spans="1:5" x14ac:dyDescent="0.2">
      <c r="A196" t="s">
        <v>417</v>
      </c>
      <c r="B196" t="s">
        <v>418</v>
      </c>
      <c r="C196">
        <f t="array" ref="C196">_xlfn.GAMMA(5)</f>
        <v>24</v>
      </c>
      <c r="D196">
        <v>24</v>
      </c>
      <c r="E196" t="b">
        <f t="array" ref="E196">C196=D196</f>
        <v>1</v>
      </c>
    </row>
    <row r="197" spans="1:5" x14ac:dyDescent="0.2">
      <c r="A197" t="s">
        <v>419</v>
      </c>
      <c r="B197" t="s">
        <v>420</v>
      </c>
      <c r="C197">
        <f t="array" ref="C197">_xlfn.GAMMA.DIST(2, 3, 2, TRUE)</f>
        <v>8.0301397071394193E-2</v>
      </c>
      <c r="D197">
        <v>0.32329999999999998</v>
      </c>
      <c r="E197" t="b">
        <f t="array" ref="E197">C197=D197</f>
        <v>0</v>
      </c>
    </row>
    <row r="198" spans="1:5" x14ac:dyDescent="0.2">
      <c r="A198" t="s">
        <v>421</v>
      </c>
      <c r="B198" t="s">
        <v>422</v>
      </c>
      <c r="C198">
        <f t="array" ref="C198">GAMMADIST(2, 3, 2, TRUE)</f>
        <v>8.0301397071394193E-2</v>
      </c>
      <c r="D198">
        <v>0.32329999999999998</v>
      </c>
      <c r="E198" t="b">
        <f t="array" ref="E198">C198=D198</f>
        <v>0</v>
      </c>
    </row>
    <row r="199" spans="1:5" x14ac:dyDescent="0.2">
      <c r="A199" t="s">
        <v>423</v>
      </c>
      <c r="B199" t="s">
        <v>424</v>
      </c>
      <c r="C199">
        <f t="array" ref="C199">_xlfn.GAMMA.INV(0.5, 3, 2)</f>
        <v>5.3481206274471216</v>
      </c>
      <c r="D199">
        <v>5.3480999999999996</v>
      </c>
      <c r="E199" t="b">
        <f t="array" ref="E199">C199=D199</f>
        <v>0</v>
      </c>
    </row>
    <row r="200" spans="1:5" x14ac:dyDescent="0.2">
      <c r="A200" t="s">
        <v>425</v>
      </c>
      <c r="B200" t="s">
        <v>426</v>
      </c>
      <c r="C200">
        <f t="array" ref="C200">GAMMAINV(0.5, 3, 2)</f>
        <v>5.3481206274471216</v>
      </c>
      <c r="D200">
        <v>5.3480999999999996</v>
      </c>
      <c r="E200" t="b">
        <f t="array" ref="E200">C200=D200</f>
        <v>0</v>
      </c>
    </row>
    <row r="201" spans="1:5" x14ac:dyDescent="0.2">
      <c r="A201" t="s">
        <v>427</v>
      </c>
      <c r="B201" t="s">
        <v>428</v>
      </c>
      <c r="C201">
        <f t="array" ref="C201">GAMMALN(4)</f>
        <v>1.791759469228055</v>
      </c>
      <c r="D201">
        <v>1.7918000000000001</v>
      </c>
      <c r="E201" t="b">
        <f t="array" ref="E201">C201=D201</f>
        <v>0</v>
      </c>
    </row>
    <row r="202" spans="1:5" x14ac:dyDescent="0.2">
      <c r="A202" t="s">
        <v>429</v>
      </c>
      <c r="B202" t="s">
        <v>430</v>
      </c>
      <c r="C202">
        <f t="array" ref="C202">_xlfn.GAMMALN.PRECISE(4)</f>
        <v>1.791759469228055</v>
      </c>
      <c r="D202">
        <v>1.7918000000000001</v>
      </c>
      <c r="E202" t="b">
        <f t="array" ref="E202">C202=D202</f>
        <v>0</v>
      </c>
    </row>
    <row r="203" spans="1:5" x14ac:dyDescent="0.2">
      <c r="A203" t="s">
        <v>431</v>
      </c>
      <c r="B203" t="s">
        <v>432</v>
      </c>
      <c r="C203">
        <f t="array" ref="C203">_xlfn.GAUSS(1)</f>
        <v>0.34134474606854304</v>
      </c>
      <c r="D203">
        <v>0.34129999999999999</v>
      </c>
      <c r="E203" t="b">
        <f t="array" ref="E203">C203=D203</f>
        <v>0</v>
      </c>
    </row>
    <row r="204" spans="1:5" x14ac:dyDescent="0.2">
      <c r="A204" t="s">
        <v>433</v>
      </c>
      <c r="B204" t="s">
        <v>434</v>
      </c>
      <c r="C204">
        <f t="array" ref="C204">GCD(12, 18)</f>
        <v>6</v>
      </c>
      <c r="D204">
        <v>6</v>
      </c>
      <c r="E204" t="b">
        <f t="array" ref="E204">C204=D204</f>
        <v>1</v>
      </c>
    </row>
    <row r="205" spans="1:5" x14ac:dyDescent="0.2">
      <c r="A205" t="s">
        <v>435</v>
      </c>
      <c r="B205" t="s">
        <v>436</v>
      </c>
      <c r="C205">
        <f t="array" ref="C205">GEOMEAN(2, 8)</f>
        <v>4</v>
      </c>
      <c r="D205">
        <v>4</v>
      </c>
      <c r="E205" t="b">
        <f t="array" ref="E205">C205=D205</f>
        <v>1</v>
      </c>
    </row>
    <row r="206" spans="1:5" x14ac:dyDescent="0.2">
      <c r="A206" t="s">
        <v>437</v>
      </c>
      <c r="B206" t="s">
        <v>438</v>
      </c>
      <c r="C206">
        <f t="array" ref="C206">GESTEP(5, 3)</f>
        <v>1</v>
      </c>
      <c r="D206">
        <v>1</v>
      </c>
      <c r="E206" t="b">
        <f t="array" ref="E206">C206=D206</f>
        <v>1</v>
      </c>
    </row>
    <row r="207" spans="1:5" x14ac:dyDescent="0.2">
      <c r="A207" t="s">
        <v>439</v>
      </c>
      <c r="B207" t="s">
        <v>440</v>
      </c>
      <c r="C207" t="e">
        <f t="array" ref="C207">GETPIVOTDATA("Sales", A1)</f>
        <v>#REF!</v>
      </c>
      <c r="D207" t="s">
        <v>441</v>
      </c>
      <c r="E207" t="e">
        <f t="array" ref="E207">C207=D207</f>
        <v>#REF!</v>
      </c>
    </row>
    <row r="208" spans="1:5" x14ac:dyDescent="0.2">
      <c r="A208" t="s">
        <v>442</v>
      </c>
      <c r="B208" t="s">
        <v>443</v>
      </c>
      <c r="D208" t="s">
        <v>444</v>
      </c>
      <c r="E208" t="b">
        <f t="array" ref="E208">C208=D208</f>
        <v>0</v>
      </c>
    </row>
    <row r="209" spans="1:5" x14ac:dyDescent="0.2">
      <c r="A209" t="s">
        <v>445</v>
      </c>
      <c r="B209" t="s">
        <v>446</v>
      </c>
      <c r="C209">
        <f t="array" ref="C209">GROWTH({1,2,4}, {1,2,3}, {4})</f>
        <v>7.9999999999999991</v>
      </c>
      <c r="D209">
        <v>8</v>
      </c>
      <c r="E209" t="b">
        <f t="array" ref="E209">C209=D209</f>
        <v>1</v>
      </c>
    </row>
    <row r="210" spans="1:5" x14ac:dyDescent="0.2">
      <c r="A210" t="s">
        <v>447</v>
      </c>
      <c r="B210" t="s">
        <v>448</v>
      </c>
      <c r="C210">
        <f t="array" ref="C210">HARMEAN(2, 4)</f>
        <v>2.6666666666666665</v>
      </c>
      <c r="D210">
        <v>2.6667000000000001</v>
      </c>
      <c r="E210" t="b">
        <f t="array" ref="E210">C210=D210</f>
        <v>0</v>
      </c>
    </row>
    <row r="211" spans="1:5" x14ac:dyDescent="0.2">
      <c r="A211" t="s">
        <v>449</v>
      </c>
      <c r="B211" t="s">
        <v>450</v>
      </c>
      <c r="C211" t="str">
        <f t="array" ref="C211">HEX2BIN("F")</f>
        <v>1111</v>
      </c>
      <c r="D211">
        <v>1111</v>
      </c>
      <c r="E211" t="b">
        <f t="array" ref="E211">C211=D211</f>
        <v>0</v>
      </c>
    </row>
    <row r="212" spans="1:5" x14ac:dyDescent="0.2">
      <c r="A212" t="s">
        <v>451</v>
      </c>
      <c r="B212" t="s">
        <v>452</v>
      </c>
      <c r="C212">
        <f t="array" ref="C212">HEX2DEC("FF")</f>
        <v>255</v>
      </c>
      <c r="D212">
        <v>255</v>
      </c>
      <c r="E212" t="b">
        <f t="array" ref="E212">C212=D212</f>
        <v>1</v>
      </c>
    </row>
    <row r="213" spans="1:5" x14ac:dyDescent="0.2">
      <c r="A213" t="s">
        <v>453</v>
      </c>
      <c r="B213" t="s">
        <v>454</v>
      </c>
      <c r="C213" t="str">
        <f t="array" ref="C213">HEX2OCT("F")</f>
        <v>17</v>
      </c>
      <c r="D213">
        <v>17</v>
      </c>
      <c r="E213" t="b">
        <f t="array" ref="E213">C213=D213</f>
        <v>0</v>
      </c>
    </row>
    <row r="214" spans="1:5" x14ac:dyDescent="0.2">
      <c r="A214" t="s">
        <v>455</v>
      </c>
      <c r="B214" t="s">
        <v>456</v>
      </c>
      <c r="C214">
        <f t="array" ref="C214">HLOOKUP(2, {1,2,3;4,5,6}, 2, FALSE)</f>
        <v>5</v>
      </c>
      <c r="D214">
        <v>5</v>
      </c>
      <c r="E214" t="b">
        <f t="array" ref="E214">C214=D214</f>
        <v>1</v>
      </c>
    </row>
    <row r="215" spans="1:5" x14ac:dyDescent="0.2">
      <c r="A215" t="s">
        <v>457</v>
      </c>
      <c r="B215" t="s">
        <v>458</v>
      </c>
      <c r="C215">
        <f t="array" ref="C215">HOUR("12:30:00")</f>
        <v>12</v>
      </c>
      <c r="D215">
        <v>12</v>
      </c>
      <c r="E215" t="b">
        <f t="array" ref="E215">C215=D215</f>
        <v>1</v>
      </c>
    </row>
    <row r="216" spans="1:5" x14ac:dyDescent="0.2">
      <c r="A216" t="s">
        <v>459</v>
      </c>
      <c r="B216" t="s">
        <v>460</v>
      </c>
      <c r="D216" t="s">
        <v>461</v>
      </c>
      <c r="E216" t="b">
        <f t="array" ref="E216">C216=D216</f>
        <v>0</v>
      </c>
    </row>
    <row r="217" spans="1:5" x14ac:dyDescent="0.2">
      <c r="A217" t="s">
        <v>462</v>
      </c>
      <c r="B217" t="s">
        <v>463</v>
      </c>
      <c r="C217" t="str">
        <f t="array" ref="C217">HYPERLINK("http://example.com", "Link")</f>
        <v>Link</v>
      </c>
      <c r="D217" t="s">
        <v>464</v>
      </c>
      <c r="E217" t="b">
        <f t="array" ref="E217">C217=D217</f>
        <v>1</v>
      </c>
    </row>
    <row r="218" spans="1:5" x14ac:dyDescent="0.2">
      <c r="A218" t="s">
        <v>465</v>
      </c>
      <c r="B218" t="s">
        <v>466</v>
      </c>
      <c r="C218">
        <f t="array" ref="C218">_xlfn.HYPGEOM.DIST(1, 4, 8, 20, FALSE)</f>
        <v>0.36326109391124861</v>
      </c>
      <c r="D218">
        <v>0.36330000000000001</v>
      </c>
      <c r="E218" t="b">
        <f t="array" ref="E218">C218=D218</f>
        <v>0</v>
      </c>
    </row>
    <row r="219" spans="1:5" x14ac:dyDescent="0.2">
      <c r="A219" t="s">
        <v>467</v>
      </c>
      <c r="B219" t="s">
        <v>468</v>
      </c>
      <c r="C219">
        <f t="array" ref="C219">HYPGEOMDIST(1, 4, 8, 20)</f>
        <v>0.36326109391124861</v>
      </c>
      <c r="D219">
        <v>0.36330000000000001</v>
      </c>
      <c r="E219" t="b">
        <f t="array" ref="E219">C219=D219</f>
        <v>0</v>
      </c>
    </row>
    <row r="220" spans="1:5" x14ac:dyDescent="0.2">
      <c r="A220" t="s">
        <v>469</v>
      </c>
      <c r="B220" t="s">
        <v>470</v>
      </c>
      <c r="C220" t="str">
        <f t="array" ref="C220">IF(TRUE, "Yes", "No")</f>
        <v>Yes</v>
      </c>
      <c r="D220" t="s">
        <v>471</v>
      </c>
      <c r="E220" t="b">
        <f t="array" ref="E220">C220=D220</f>
        <v>1</v>
      </c>
    </row>
    <row r="221" spans="1:5" x14ac:dyDescent="0.2">
      <c r="A221" t="s">
        <v>472</v>
      </c>
      <c r="B221" t="s">
        <v>473</v>
      </c>
      <c r="C221" t="str">
        <f t="array" ref="C221">IFERROR(1/0, "Error")</f>
        <v>Error</v>
      </c>
      <c r="D221" t="s">
        <v>474</v>
      </c>
      <c r="E221" t="b">
        <f t="array" ref="E221">C221=D221</f>
        <v>1</v>
      </c>
    </row>
    <row r="222" spans="1:5" x14ac:dyDescent="0.2">
      <c r="A222" t="s">
        <v>475</v>
      </c>
      <c r="B222" t="s">
        <v>476</v>
      </c>
      <c r="C222" t="str">
        <f t="array" ref="C222">_xlfn.IFNA(NA(), "N/A")</f>
        <v>N/A</v>
      </c>
      <c r="D222" t="s">
        <v>117</v>
      </c>
      <c r="E222" t="b">
        <f t="array" ref="E222">C222=D222</f>
        <v>1</v>
      </c>
    </row>
    <row r="223" spans="1:5" x14ac:dyDescent="0.2">
      <c r="A223" t="s">
        <v>477</v>
      </c>
      <c r="B223" t="s">
        <v>478</v>
      </c>
      <c r="C223">
        <f t="array" ref="C223">_xlfn.IFS(FALSE, 1, TRUE, 2)</f>
        <v>2</v>
      </c>
      <c r="D223">
        <v>2</v>
      </c>
      <c r="E223" t="b">
        <f t="array" ref="E223">C223=D223</f>
        <v>1</v>
      </c>
    </row>
    <row r="224" spans="1:5" x14ac:dyDescent="0.2">
      <c r="A224" t="s">
        <v>479</v>
      </c>
      <c r="B224" t="s">
        <v>480</v>
      </c>
      <c r="C224">
        <f t="array" ref="C224">IMABS("3+4i")</f>
        <v>5</v>
      </c>
      <c r="D224">
        <v>5</v>
      </c>
      <c r="E224" t="b">
        <f t="array" ref="E224">C224=D224</f>
        <v>1</v>
      </c>
    </row>
    <row r="225" spans="1:5" x14ac:dyDescent="0.2">
      <c r="A225" t="s">
        <v>481</v>
      </c>
      <c r="B225" t="s">
        <v>482</v>
      </c>
      <c r="C225" t="e" vm="5">
        <f t="array" aca="1" ref="C225" ca="1">_xlfn.IMAGE("https://example.com/img.png")</f>
        <v>#VALUE!</v>
      </c>
      <c r="D225" t="s">
        <v>483</v>
      </c>
      <c r="E225" t="e" vm="6">
        <f t="array" aca="1" ref="E225" ca="1">C225=D225</f>
        <v>#VALUE!</v>
      </c>
    </row>
    <row r="226" spans="1:5" x14ac:dyDescent="0.2">
      <c r="A226" t="s">
        <v>484</v>
      </c>
      <c r="B226" t="s">
        <v>485</v>
      </c>
      <c r="C226">
        <f t="array" ref="C226">IMAGINARY("3+4i")</f>
        <v>4</v>
      </c>
      <c r="D226">
        <v>4</v>
      </c>
      <c r="E226" t="b">
        <f t="array" ref="E226">C226=D226</f>
        <v>1</v>
      </c>
    </row>
    <row r="227" spans="1:5" x14ac:dyDescent="0.2">
      <c r="A227" t="s">
        <v>486</v>
      </c>
      <c r="B227" t="s">
        <v>487</v>
      </c>
      <c r="C227">
        <f t="array" ref="C227">IMARGUMENT("3+4i")</f>
        <v>0.92729521800161219</v>
      </c>
      <c r="D227">
        <v>0.92730000000000001</v>
      </c>
      <c r="E227" t="b">
        <f t="array" ref="E227">C227=D227</f>
        <v>0</v>
      </c>
    </row>
    <row r="228" spans="1:5" x14ac:dyDescent="0.2">
      <c r="A228" t="s">
        <v>488</v>
      </c>
      <c r="B228" t="s">
        <v>489</v>
      </c>
      <c r="C228" t="str">
        <f t="array" ref="C228">IMCONJUGATE("3+4i")</f>
        <v>3-4i</v>
      </c>
      <c r="D228" t="s">
        <v>490</v>
      </c>
      <c r="E228" t="b">
        <f t="array" ref="E228">C228=D228</f>
        <v>1</v>
      </c>
    </row>
    <row r="229" spans="1:5" x14ac:dyDescent="0.2">
      <c r="A229" t="s">
        <v>491</v>
      </c>
      <c r="B229" t="s">
        <v>492</v>
      </c>
      <c r="C229" t="str">
        <f t="array" ref="C229">IMCOS("1+i")</f>
        <v>0.833730025131149-0.988897705762865i</v>
      </c>
      <c r="D229" t="s">
        <v>493</v>
      </c>
      <c r="E229" t="b">
        <f t="array" ref="E229">C229=D229</f>
        <v>0</v>
      </c>
    </row>
    <row r="230" spans="1:5" x14ac:dyDescent="0.2">
      <c r="A230" t="s">
        <v>494</v>
      </c>
      <c r="B230" t="s">
        <v>495</v>
      </c>
      <c r="C230" t="str">
        <f t="array" ref="C230">_xlfn.IMCOSH("1+i")</f>
        <v>0.833730025131149+0.988897705762865i</v>
      </c>
      <c r="D230" t="s">
        <v>496</v>
      </c>
      <c r="E230" t="b">
        <f t="array" ref="E230">C230=D230</f>
        <v>0</v>
      </c>
    </row>
    <row r="231" spans="1:5" x14ac:dyDescent="0.2">
      <c r="A231" t="s">
        <v>497</v>
      </c>
      <c r="B231" t="s">
        <v>498</v>
      </c>
      <c r="C231" t="str">
        <f t="array" ref="C231">_xlfn.IMCOT("1+i")</f>
        <v>0.217621561854403-0.868014142895925i</v>
      </c>
      <c r="D231" t="s">
        <v>499</v>
      </c>
      <c r="E231" t="b">
        <f t="array" ref="E231">C231=D231</f>
        <v>0</v>
      </c>
    </row>
    <row r="232" spans="1:5" x14ac:dyDescent="0.2">
      <c r="A232" t="s">
        <v>500</v>
      </c>
      <c r="B232" t="s">
        <v>501</v>
      </c>
      <c r="C232" t="str">
        <f t="array" ref="C232">_xlfn.IMCSC("1+i")</f>
        <v>0.621518017170428-0.303931001628427i</v>
      </c>
      <c r="D232" t="s">
        <v>502</v>
      </c>
      <c r="E232" t="b">
        <f t="array" ref="E232">C232=D232</f>
        <v>0</v>
      </c>
    </row>
    <row r="233" spans="1:5" x14ac:dyDescent="0.2">
      <c r="A233" t="s">
        <v>503</v>
      </c>
      <c r="B233" t="s">
        <v>504</v>
      </c>
      <c r="C233" t="str">
        <f t="array" ref="C233">_xlfn.IMCSCH("1+i")</f>
        <v>0.303931001628426-0.621518017170429i</v>
      </c>
      <c r="D233" t="s">
        <v>505</v>
      </c>
      <c r="E233" t="b">
        <f t="array" ref="E233">C233=D233</f>
        <v>0</v>
      </c>
    </row>
    <row r="234" spans="1:5" x14ac:dyDescent="0.2">
      <c r="A234" t="s">
        <v>506</v>
      </c>
      <c r="B234" t="s">
        <v>507</v>
      </c>
      <c r="C234" t="str">
        <f t="array" ref="C234">IMDIV("10+10i", "2+2i")</f>
        <v>5</v>
      </c>
      <c r="D234">
        <v>5</v>
      </c>
      <c r="E234" t="b">
        <f t="array" ref="E234">C234=D234</f>
        <v>0</v>
      </c>
    </row>
    <row r="235" spans="1:5" x14ac:dyDescent="0.2">
      <c r="A235" t="s">
        <v>508</v>
      </c>
      <c r="B235" t="s">
        <v>509</v>
      </c>
      <c r="C235" t="str">
        <f t="array" ref="C235">IMEXP("1+i")</f>
        <v>1.46869393991589+2.28735528717884i</v>
      </c>
      <c r="D235" t="s">
        <v>510</v>
      </c>
      <c r="E235" t="b">
        <f t="array" ref="E235">C235=D235</f>
        <v>0</v>
      </c>
    </row>
    <row r="236" spans="1:5" x14ac:dyDescent="0.2">
      <c r="A236" t="s">
        <v>511</v>
      </c>
      <c r="B236" t="s">
        <v>512</v>
      </c>
      <c r="C236" t="str">
        <f t="array" ref="C236">IMLN("2.7183")</f>
        <v>1.00000668491399</v>
      </c>
      <c r="D236">
        <v>1</v>
      </c>
      <c r="E236" t="b">
        <f t="array" ref="E236">C236=D236</f>
        <v>0</v>
      </c>
    </row>
    <row r="237" spans="1:5" x14ac:dyDescent="0.2">
      <c r="A237" t="s">
        <v>513</v>
      </c>
      <c r="B237" t="s">
        <v>514</v>
      </c>
      <c r="C237" t="str">
        <f t="array" ref="C237">IMLOG10("100")</f>
        <v>2</v>
      </c>
      <c r="D237">
        <v>2</v>
      </c>
      <c r="E237" t="b">
        <f t="array" ref="E237">C237=D237</f>
        <v>0</v>
      </c>
    </row>
    <row r="238" spans="1:5" x14ac:dyDescent="0.2">
      <c r="A238" t="s">
        <v>515</v>
      </c>
      <c r="B238" t="s">
        <v>516</v>
      </c>
      <c r="C238" t="str">
        <f t="array" ref="C238">IMLOG2("8")</f>
        <v>3</v>
      </c>
      <c r="D238">
        <v>3</v>
      </c>
      <c r="E238" t="b">
        <f t="array" ref="E238">C238=D238</f>
        <v>0</v>
      </c>
    </row>
    <row r="239" spans="1:5" x14ac:dyDescent="0.2">
      <c r="A239" t="s">
        <v>517</v>
      </c>
      <c r="B239" t="s">
        <v>518</v>
      </c>
      <c r="C239" t="str">
        <f t="array" ref="C239">IMPOWER("2+i", 2)</f>
        <v>3+4i</v>
      </c>
      <c r="D239" t="s">
        <v>168</v>
      </c>
      <c r="E239" t="b">
        <f t="array" ref="E239">C239=D239</f>
        <v>1</v>
      </c>
    </row>
    <row r="240" spans="1:5" x14ac:dyDescent="0.2">
      <c r="A240" t="s">
        <v>519</v>
      </c>
      <c r="B240" t="s">
        <v>520</v>
      </c>
      <c r="C240" t="str">
        <f t="array" ref="C240">IMPRODUCT("1+2i", "3+4i")</f>
        <v>-5+10i</v>
      </c>
      <c r="D240" t="s">
        <v>521</v>
      </c>
      <c r="E240" t="b">
        <f t="array" ref="E240">C240=D240</f>
        <v>1</v>
      </c>
    </row>
    <row r="241" spans="1:5" x14ac:dyDescent="0.2">
      <c r="A241" t="s">
        <v>522</v>
      </c>
      <c r="B241" t="s">
        <v>523</v>
      </c>
      <c r="C241">
        <f t="array" ref="C241">IMREAL("3+4i")</f>
        <v>3</v>
      </c>
      <c r="D241">
        <v>3</v>
      </c>
      <c r="E241" t="b">
        <f t="array" ref="E241">C241=D241</f>
        <v>1</v>
      </c>
    </row>
    <row r="242" spans="1:5" x14ac:dyDescent="0.2">
      <c r="A242" t="s">
        <v>524</v>
      </c>
      <c r="B242" t="s">
        <v>525</v>
      </c>
      <c r="C242" t="str">
        <f t="array" ref="C242">_xlfn.IMSEC("1+i")</f>
        <v>0.498337030555187+0.591083841721045i</v>
      </c>
      <c r="D242" t="s">
        <v>526</v>
      </c>
      <c r="E242" t="b">
        <f t="array" ref="E242">C242=D242</f>
        <v>0</v>
      </c>
    </row>
    <row r="243" spans="1:5" x14ac:dyDescent="0.2">
      <c r="A243" t="s">
        <v>527</v>
      </c>
      <c r="B243" t="s">
        <v>528</v>
      </c>
      <c r="C243" t="str">
        <f t="array" ref="C243">_xlfn.IMSECH("1+i")</f>
        <v>0.498337030555187-0.591083841721045i</v>
      </c>
      <c r="D243" t="s">
        <v>529</v>
      </c>
      <c r="E243" t="b">
        <f t="array" ref="E243">C243=D243</f>
        <v>0</v>
      </c>
    </row>
    <row r="244" spans="1:5" x14ac:dyDescent="0.2">
      <c r="A244" t="s">
        <v>530</v>
      </c>
      <c r="B244" t="s">
        <v>531</v>
      </c>
      <c r="C244" t="str">
        <f t="array" ref="C244">IMSIN("1+i")</f>
        <v>1.29845758141598+0.634963914784736i</v>
      </c>
      <c r="D244" t="s">
        <v>532</v>
      </c>
      <c r="E244" t="b">
        <f t="array" ref="E244">C244=D244</f>
        <v>0</v>
      </c>
    </row>
    <row r="245" spans="1:5" x14ac:dyDescent="0.2">
      <c r="A245" t="s">
        <v>533</v>
      </c>
      <c r="B245" t="s">
        <v>534</v>
      </c>
      <c r="C245" t="str">
        <f t="array" ref="C245">_xlfn.IMSINH("1+i")</f>
        <v>0.634963914784736+1.29845758141598i</v>
      </c>
      <c r="D245" t="s">
        <v>535</v>
      </c>
      <c r="E245" t="b">
        <f t="array" ref="E245">C245=D245</f>
        <v>0</v>
      </c>
    </row>
    <row r="246" spans="1:5" x14ac:dyDescent="0.2">
      <c r="A246" t="s">
        <v>536</v>
      </c>
      <c r="B246" t="s">
        <v>537</v>
      </c>
      <c r="C246" t="str">
        <f t="array" ref="C246">IMSQRT("4")</f>
        <v>2</v>
      </c>
      <c r="D246">
        <v>2</v>
      </c>
      <c r="E246" t="b">
        <f t="array" ref="E246">C246=D246</f>
        <v>0</v>
      </c>
    </row>
    <row r="247" spans="1:5" x14ac:dyDescent="0.2">
      <c r="A247" t="s">
        <v>538</v>
      </c>
      <c r="B247" t="s">
        <v>539</v>
      </c>
      <c r="C247" t="str">
        <f t="array" ref="C247">IMSUB("5+3i", "2+i")</f>
        <v>3+2i</v>
      </c>
      <c r="D247" t="s">
        <v>540</v>
      </c>
      <c r="E247" t="b">
        <f t="array" ref="E247">C247=D247</f>
        <v>1</v>
      </c>
    </row>
    <row r="248" spans="1:5" x14ac:dyDescent="0.2">
      <c r="A248" t="s">
        <v>541</v>
      </c>
      <c r="B248" t="s">
        <v>542</v>
      </c>
      <c r="C248" t="str">
        <f t="array" ref="C248">IMSUM("1+2i", "3+4i")</f>
        <v>4+6i</v>
      </c>
      <c r="D248" t="s">
        <v>543</v>
      </c>
      <c r="E248" t="b">
        <f t="array" ref="E248">C248=D248</f>
        <v>1</v>
      </c>
    </row>
    <row r="249" spans="1:5" x14ac:dyDescent="0.2">
      <c r="A249" t="s">
        <v>544</v>
      </c>
      <c r="B249" t="s">
        <v>545</v>
      </c>
      <c r="C249" t="str">
        <f t="array" ref="C249">_xlfn.IMTAN("1+i")</f>
        <v>0.271752585319512+1.08392332733869i</v>
      </c>
      <c r="D249" t="s">
        <v>546</v>
      </c>
      <c r="E249" t="b">
        <f t="array" ref="E249">C249=D249</f>
        <v>0</v>
      </c>
    </row>
    <row r="250" spans="1:5" x14ac:dyDescent="0.2">
      <c r="A250" t="s">
        <v>547</v>
      </c>
      <c r="B250" t="s">
        <v>548</v>
      </c>
      <c r="C250">
        <f t="array" ref="C250">INDEX({1,2,3}, 1, 2)</f>
        <v>2</v>
      </c>
      <c r="D250">
        <v>2</v>
      </c>
      <c r="E250" t="b">
        <f t="array" ref="E250">C250=D250</f>
        <v>1</v>
      </c>
    </row>
    <row r="251" spans="1:5" x14ac:dyDescent="0.2">
      <c r="A251" t="s">
        <v>549</v>
      </c>
      <c r="B251" t="s">
        <v>550</v>
      </c>
      <c r="C251" t="str">
        <f t="array" aca="1" ref="C251" ca="1">INDIRECT("A1")</f>
        <v>Formula</v>
      </c>
      <c r="D251" t="s">
        <v>2</v>
      </c>
      <c r="E251" t="b">
        <f t="array" aca="1" ref="E251" ca="1">C251=D251</f>
        <v>1</v>
      </c>
    </row>
    <row r="252" spans="1:5" x14ac:dyDescent="0.2">
      <c r="A252" t="s">
        <v>551</v>
      </c>
      <c r="B252" t="s">
        <v>552</v>
      </c>
      <c r="C252" t="e">
        <f t="array" aca="1" ref="C252" ca="1">INFO("version")</f>
        <v>#VALUE!</v>
      </c>
      <c r="D252" t="s">
        <v>553</v>
      </c>
      <c r="E252" t="e">
        <f t="array" aca="1" ref="E252" ca="1">C252=D252</f>
        <v>#VALUE!</v>
      </c>
    </row>
    <row r="253" spans="1:5" x14ac:dyDescent="0.2">
      <c r="A253" t="s">
        <v>554</v>
      </c>
      <c r="B253" t="s">
        <v>555</v>
      </c>
      <c r="C253">
        <f t="array" ref="C253">INT(5.7)</f>
        <v>5</v>
      </c>
      <c r="D253">
        <v>5</v>
      </c>
      <c r="E253" t="b">
        <f t="array" ref="E253">C253=D253</f>
        <v>1</v>
      </c>
    </row>
    <row r="254" spans="1:5" x14ac:dyDescent="0.2">
      <c r="A254" t="s">
        <v>556</v>
      </c>
      <c r="B254" t="s">
        <v>557</v>
      </c>
      <c r="C254">
        <f t="array" ref="C254">INTERCEPT({2,4,6}, {1,2,3})</f>
        <v>0</v>
      </c>
      <c r="D254">
        <v>0</v>
      </c>
      <c r="E254" t="b">
        <f t="array" ref="E254">C254=D254</f>
        <v>1</v>
      </c>
    </row>
    <row r="255" spans="1:5" x14ac:dyDescent="0.2">
      <c r="A255" t="s">
        <v>558</v>
      </c>
      <c r="B255" t="s">
        <v>559</v>
      </c>
      <c r="C255">
        <f t="array" ref="C255">INTRATE("2020-01-01", "2020-12-31", 1000, 1050, 0)</f>
        <v>0.05</v>
      </c>
      <c r="D255">
        <v>4.99E-2</v>
      </c>
      <c r="E255" t="b">
        <f t="array" ref="E255">C255=D255</f>
        <v>0</v>
      </c>
    </row>
    <row r="256" spans="1:5" x14ac:dyDescent="0.2">
      <c r="A256" t="s">
        <v>560</v>
      </c>
      <c r="B256" t="s">
        <v>561</v>
      </c>
      <c r="C256">
        <f t="array" ref="C256">IPMT(0.1/12, 1, 12, 1000)</f>
        <v>-8.3333333333333339</v>
      </c>
      <c r="D256">
        <v>-8.33</v>
      </c>
      <c r="E256" t="b">
        <f t="array" ref="E256">C256=D256</f>
        <v>0</v>
      </c>
    </row>
    <row r="257" spans="1:5" x14ac:dyDescent="0.2">
      <c r="A257" t="s">
        <v>562</v>
      </c>
      <c r="B257" t="s">
        <v>563</v>
      </c>
      <c r="C257">
        <f t="array" ref="C257">IRR({-1000,300,400,500})</f>
        <v>8.8963394693349906E-2</v>
      </c>
      <c r="D257">
        <v>8.6599999999999996E-2</v>
      </c>
      <c r="E257" t="b">
        <f t="array" ref="E257">C257=D257</f>
        <v>0</v>
      </c>
    </row>
    <row r="258" spans="1:5" x14ac:dyDescent="0.2">
      <c r="A258" t="s">
        <v>564</v>
      </c>
      <c r="B258" t="s">
        <v>565</v>
      </c>
      <c r="C258" t="b">
        <f t="array" ref="C258">ISBLANK("")</f>
        <v>0</v>
      </c>
      <c r="D258" t="b">
        <v>0</v>
      </c>
      <c r="E258" t="b">
        <f t="array" ref="E258">C258=D258</f>
        <v>1</v>
      </c>
    </row>
    <row r="259" spans="1:5" x14ac:dyDescent="0.2">
      <c r="A259" t="s">
        <v>566</v>
      </c>
      <c r="B259" t="s">
        <v>567</v>
      </c>
      <c r="C259" t="b">
        <f t="array" ref="C259">ISERR(1/0)</f>
        <v>1</v>
      </c>
      <c r="D259" t="b">
        <v>1</v>
      </c>
      <c r="E259" t="b">
        <f t="array" ref="E259">C259=D259</f>
        <v>1</v>
      </c>
    </row>
    <row r="260" spans="1:5" x14ac:dyDescent="0.2">
      <c r="A260" t="s">
        <v>568</v>
      </c>
      <c r="B260" t="s">
        <v>569</v>
      </c>
      <c r="C260" t="b">
        <f t="array" ref="C260">ISERROR(1/0)</f>
        <v>1</v>
      </c>
      <c r="D260" t="b">
        <v>1</v>
      </c>
      <c r="E260" t="b">
        <f t="array" ref="E260">C260=D260</f>
        <v>1</v>
      </c>
    </row>
    <row r="261" spans="1:5" x14ac:dyDescent="0.2">
      <c r="A261" t="s">
        <v>570</v>
      </c>
      <c r="B261" t="s">
        <v>571</v>
      </c>
      <c r="C261" t="b">
        <f t="array" ref="C261">ISEVEN(4)</f>
        <v>1</v>
      </c>
      <c r="D261" t="b">
        <v>1</v>
      </c>
      <c r="E261" t="b">
        <f t="array" ref="E261">C261=D261</f>
        <v>1</v>
      </c>
    </row>
    <row r="262" spans="1:5" x14ac:dyDescent="0.2">
      <c r="A262" t="s">
        <v>572</v>
      </c>
      <c r="B262" t="s">
        <v>573</v>
      </c>
      <c r="C262" t="b">
        <f t="array" ref="C262">_xlfn.ISFORMULA(A1)</f>
        <v>0</v>
      </c>
      <c r="D262" t="b">
        <v>0</v>
      </c>
      <c r="E262" t="b">
        <f t="array" ref="E262">C262=D262</f>
        <v>1</v>
      </c>
    </row>
    <row r="263" spans="1:5" x14ac:dyDescent="0.2">
      <c r="A263" t="s">
        <v>574</v>
      </c>
      <c r="B263" t="s">
        <v>575</v>
      </c>
      <c r="C263" t="b">
        <f t="array" ref="C263">ISLOGICAL(TRUE)</f>
        <v>1</v>
      </c>
      <c r="D263" t="b">
        <v>1</v>
      </c>
      <c r="E263" t="b">
        <f t="array" ref="E263">C263=D263</f>
        <v>1</v>
      </c>
    </row>
    <row r="264" spans="1:5" x14ac:dyDescent="0.2">
      <c r="A264" t="s">
        <v>576</v>
      </c>
      <c r="B264" t="s">
        <v>577</v>
      </c>
      <c r="C264" t="b">
        <f t="array" ref="C264">ISNA(NA())</f>
        <v>1</v>
      </c>
      <c r="D264" t="b">
        <v>1</v>
      </c>
      <c r="E264" t="b">
        <f t="array" ref="E264">C264=D264</f>
        <v>1</v>
      </c>
    </row>
    <row r="265" spans="1:5" x14ac:dyDescent="0.2">
      <c r="A265" t="s">
        <v>578</v>
      </c>
      <c r="B265" t="s">
        <v>579</v>
      </c>
      <c r="C265" t="b">
        <f t="array" ref="C265">ISNONTEXT(123)</f>
        <v>1</v>
      </c>
      <c r="D265" t="b">
        <v>1</v>
      </c>
      <c r="E265" t="b">
        <f t="array" ref="E265">C265=D265</f>
        <v>1</v>
      </c>
    </row>
    <row r="266" spans="1:5" x14ac:dyDescent="0.2">
      <c r="A266" t="s">
        <v>580</v>
      </c>
      <c r="B266" t="s">
        <v>581</v>
      </c>
      <c r="C266" t="b">
        <f t="array" ref="C266">ISNUMBER(123)</f>
        <v>1</v>
      </c>
      <c r="D266" t="b">
        <v>1</v>
      </c>
      <c r="E266" t="b">
        <f t="array" ref="E266">C266=D266</f>
        <v>1</v>
      </c>
    </row>
    <row r="267" spans="1:5" x14ac:dyDescent="0.2">
      <c r="A267" t="s">
        <v>582</v>
      </c>
      <c r="B267" t="s">
        <v>583</v>
      </c>
      <c r="C267" t="b">
        <f t="array" ref="C267">ISODD(5)</f>
        <v>1</v>
      </c>
      <c r="D267" t="b">
        <v>1</v>
      </c>
      <c r="E267" t="b">
        <f t="array" ref="E267">C267=D267</f>
        <v>1</v>
      </c>
    </row>
    <row r="268" spans="1:5" x14ac:dyDescent="0.2">
      <c r="A268" t="s">
        <v>584</v>
      </c>
      <c r="B268" t="s">
        <v>585</v>
      </c>
      <c r="C268" t="b">
        <f t="array" ref="C268">_xlfn.ISOMITTED(1)</f>
        <v>0</v>
      </c>
      <c r="D268" t="b">
        <v>0</v>
      </c>
      <c r="E268" t="b">
        <f t="array" ref="E268">C268=D268</f>
        <v>1</v>
      </c>
    </row>
    <row r="269" spans="1:5" x14ac:dyDescent="0.2">
      <c r="A269" t="s">
        <v>586</v>
      </c>
      <c r="B269" t="s">
        <v>587</v>
      </c>
      <c r="C269" t="b">
        <f t="array" ref="C269">ISREF(A1)</f>
        <v>1</v>
      </c>
      <c r="D269" t="b">
        <v>1</v>
      </c>
      <c r="E269" t="b">
        <f t="array" ref="E269">C269=D269</f>
        <v>1</v>
      </c>
    </row>
    <row r="270" spans="1:5" x14ac:dyDescent="0.2">
      <c r="A270" t="s">
        <v>588</v>
      </c>
      <c r="B270" t="s">
        <v>589</v>
      </c>
      <c r="C270" t="b">
        <f t="array" ref="C270">ISTEXT("hello")</f>
        <v>1</v>
      </c>
      <c r="D270" t="b">
        <v>1</v>
      </c>
      <c r="E270" t="b">
        <f t="array" ref="E270">C270=D270</f>
        <v>1</v>
      </c>
    </row>
    <row r="271" spans="1:5" x14ac:dyDescent="0.2">
      <c r="A271" t="s">
        <v>590</v>
      </c>
      <c r="B271" t="s">
        <v>591</v>
      </c>
      <c r="C271">
        <f t="array" ref="C271">ISO.CEILING(4.3)</f>
        <v>5</v>
      </c>
      <c r="D271">
        <v>5</v>
      </c>
      <c r="E271" t="b">
        <f t="array" ref="E271">C271=D271</f>
        <v>1</v>
      </c>
    </row>
    <row r="272" spans="1:5" x14ac:dyDescent="0.2">
      <c r="A272" t="s">
        <v>592</v>
      </c>
      <c r="B272" t="s">
        <v>593</v>
      </c>
      <c r="C272">
        <f t="array" ref="C272">_xlfn.ISOWEEKNUM("2020-01-01")</f>
        <v>1</v>
      </c>
      <c r="D272">
        <v>1</v>
      </c>
      <c r="E272" t="b">
        <f t="array" ref="E272">C272=D272</f>
        <v>1</v>
      </c>
    </row>
    <row r="273" spans="1:5" x14ac:dyDescent="0.2">
      <c r="A273" t="s">
        <v>594</v>
      </c>
      <c r="B273" t="s">
        <v>595</v>
      </c>
      <c r="C273">
        <f t="array" ref="C273">ISPMT(0.1, 1, 12, 1000)</f>
        <v>-91.666666666666671</v>
      </c>
      <c r="D273">
        <v>-7.5</v>
      </c>
      <c r="E273" t="b">
        <f t="array" ref="E273">C273=D273</f>
        <v>0</v>
      </c>
    </row>
    <row r="274" spans="1:5" x14ac:dyDescent="0.2">
      <c r="A274" t="s">
        <v>596</v>
      </c>
      <c r="B274" t="s">
        <v>597</v>
      </c>
      <c r="C274" t="e">
        <f t="array" aca="1" ref="C274" ca="1">JIS("abc")</f>
        <v>#NAME?</v>
      </c>
      <c r="D274" t="s">
        <v>598</v>
      </c>
      <c r="E274" t="e">
        <f t="array" aca="1" ref="E274" ca="1">C274=D274</f>
        <v>#NAME?</v>
      </c>
    </row>
    <row r="275" spans="1:5" x14ac:dyDescent="0.2">
      <c r="A275" t="s">
        <v>599</v>
      </c>
      <c r="B275" t="s">
        <v>600</v>
      </c>
      <c r="C275">
        <f t="array" ref="C275">KURT(1,2,3,4,5,6,7,8)</f>
        <v>-1.1999999999999997</v>
      </c>
      <c r="D275">
        <v>-1.2</v>
      </c>
      <c r="E275" t="b">
        <f t="array" ref="E275">C275=D275</f>
        <v>1</v>
      </c>
    </row>
    <row r="276" spans="1:5" x14ac:dyDescent="0.2">
      <c r="A276" t="s">
        <v>601</v>
      </c>
      <c r="B276" t="s">
        <v>602</v>
      </c>
      <c r="C276" cm="1">
        <v>0</v>
      </c>
      <c r="D276">
        <v>6</v>
      </c>
      <c r="E276" t="b">
        <f t="array" ref="E276">C276=D276</f>
        <v>0</v>
      </c>
    </row>
    <row r="277" spans="1:5" x14ac:dyDescent="0.2">
      <c r="A277" t="s">
        <v>603</v>
      </c>
      <c r="B277" t="s">
        <v>604</v>
      </c>
      <c r="C277">
        <f t="array" ref="C277">LARGE({1,2,3,4,5}, 2)</f>
        <v>4</v>
      </c>
      <c r="D277">
        <v>4</v>
      </c>
      <c r="E277" t="b">
        <f t="array" ref="E277">C277=D277</f>
        <v>1</v>
      </c>
    </row>
    <row r="278" spans="1:5" x14ac:dyDescent="0.2">
      <c r="A278" t="s">
        <v>605</v>
      </c>
      <c r="B278" t="s">
        <v>606</v>
      </c>
      <c r="C278">
        <f t="array" ref="C278">LCM(4, 6)</f>
        <v>12</v>
      </c>
      <c r="D278">
        <v>12</v>
      </c>
      <c r="E278" t="b">
        <f t="array" ref="E278">C278=D278</f>
        <v>1</v>
      </c>
    </row>
    <row r="279" spans="1:5" x14ac:dyDescent="0.2">
      <c r="A279" t="s">
        <v>607</v>
      </c>
      <c r="B279" t="s">
        <v>608</v>
      </c>
      <c r="C279" t="str">
        <f t="array" ref="C279">LEFT("Hello", 2)</f>
        <v>He</v>
      </c>
      <c r="D279" t="s">
        <v>609</v>
      </c>
      <c r="E279" t="b">
        <f t="array" ref="E279">C279=D279</f>
        <v>1</v>
      </c>
    </row>
    <row r="280" spans="1:5" x14ac:dyDescent="0.2">
      <c r="A280" t="s">
        <v>610</v>
      </c>
      <c r="B280" t="s">
        <v>611</v>
      </c>
      <c r="C280" t="str">
        <f t="array" ref="C280">LEFTB("Hello", 2)</f>
        <v>He</v>
      </c>
      <c r="D280" t="s">
        <v>609</v>
      </c>
      <c r="E280" t="b">
        <f t="array" ref="E280">C280=D280</f>
        <v>1</v>
      </c>
    </row>
    <row r="281" spans="1:5" x14ac:dyDescent="0.2">
      <c r="A281" t="s">
        <v>612</v>
      </c>
      <c r="B281" t="s">
        <v>613</v>
      </c>
      <c r="C281">
        <f t="array" ref="C281">LEN("Hello")</f>
        <v>5</v>
      </c>
      <c r="D281">
        <v>5</v>
      </c>
      <c r="E281" t="b">
        <f t="array" ref="E281">C281=D281</f>
        <v>1</v>
      </c>
    </row>
    <row r="282" spans="1:5" x14ac:dyDescent="0.2">
      <c r="A282" t="s">
        <v>614</v>
      </c>
      <c r="B282" t="s">
        <v>615</v>
      </c>
      <c r="C282">
        <f t="array" ref="C282">LENB("Hello")</f>
        <v>5</v>
      </c>
      <c r="D282">
        <v>5</v>
      </c>
      <c r="E282" t="b">
        <f t="array" ref="E282">C282=D282</f>
        <v>1</v>
      </c>
    </row>
    <row r="283" spans="1:5" x14ac:dyDescent="0.2">
      <c r="A283" t="s">
        <v>616</v>
      </c>
      <c r="B283" t="s">
        <v>617</v>
      </c>
      <c r="C283">
        <v>0</v>
      </c>
      <c r="D283">
        <v>10</v>
      </c>
      <c r="E283" t="b">
        <f t="array" ref="E283">C283=D283</f>
        <v>0</v>
      </c>
    </row>
    <row r="284" spans="1:5" x14ac:dyDescent="0.2">
      <c r="A284" t="s">
        <v>618</v>
      </c>
      <c r="B284" t="s">
        <v>619</v>
      </c>
      <c r="D284" t="s">
        <v>620</v>
      </c>
      <c r="E284" t="b">
        <f t="array" ref="E284">C284=D284</f>
        <v>0</v>
      </c>
    </row>
    <row r="285" spans="1:5" x14ac:dyDescent="0.2">
      <c r="A285" t="s">
        <v>621</v>
      </c>
      <c r="B285" t="s">
        <v>622</v>
      </c>
      <c r="C285">
        <f t="array" ref="C285">LN(2.7183)</f>
        <v>1.0000066849139877</v>
      </c>
      <c r="D285">
        <v>1</v>
      </c>
      <c r="E285" t="b">
        <f t="array" ref="E285">C285=D285</f>
        <v>0</v>
      </c>
    </row>
    <row r="286" spans="1:5" x14ac:dyDescent="0.2">
      <c r="A286" t="s">
        <v>623</v>
      </c>
      <c r="B286" t="s">
        <v>624</v>
      </c>
      <c r="C286">
        <f t="array" ref="C286">LOG(100, 10)</f>
        <v>2</v>
      </c>
      <c r="D286">
        <v>2</v>
      </c>
      <c r="E286" t="b">
        <f t="array" ref="E286">C286=D286</f>
        <v>1</v>
      </c>
    </row>
    <row r="287" spans="1:5" x14ac:dyDescent="0.2">
      <c r="A287" t="s">
        <v>625</v>
      </c>
      <c r="B287" t="s">
        <v>626</v>
      </c>
      <c r="C287">
        <f t="array" ref="C287">LOG10(100)</f>
        <v>2</v>
      </c>
      <c r="D287">
        <v>2</v>
      </c>
      <c r="E287" t="b">
        <f t="array" ref="E287">C287=D287</f>
        <v>1</v>
      </c>
    </row>
    <row r="288" spans="1:5" x14ac:dyDescent="0.2">
      <c r="A288" t="s">
        <v>627</v>
      </c>
      <c r="B288" t="s">
        <v>628</v>
      </c>
      <c r="D288" t="s">
        <v>629</v>
      </c>
      <c r="E288" t="b">
        <f t="array" ref="E288">C288=D288</f>
        <v>0</v>
      </c>
    </row>
    <row r="289" spans="1:5" x14ac:dyDescent="0.2">
      <c r="A289" t="s">
        <v>630</v>
      </c>
      <c r="B289" t="s">
        <v>631</v>
      </c>
      <c r="C289">
        <f t="array" ref="C289">LOGINV(0.5, 0, 1)</f>
        <v>1</v>
      </c>
      <c r="D289">
        <v>1</v>
      </c>
      <c r="E289" t="b">
        <f t="array" ref="E289">C289=D289</f>
        <v>1</v>
      </c>
    </row>
    <row r="290" spans="1:5" x14ac:dyDescent="0.2">
      <c r="A290" t="s">
        <v>632</v>
      </c>
      <c r="B290" t="s">
        <v>633</v>
      </c>
      <c r="C290">
        <f t="array" ref="C290">_xlfn.LOGNORM.DIST(1, 0, 1, TRUE)</f>
        <v>0.5</v>
      </c>
      <c r="D290">
        <v>0.5</v>
      </c>
      <c r="E290" t="b">
        <f t="array" ref="E290">C290=D290</f>
        <v>1</v>
      </c>
    </row>
    <row r="291" spans="1:5" x14ac:dyDescent="0.2">
      <c r="A291" t="s">
        <v>634</v>
      </c>
      <c r="B291" t="s">
        <v>635</v>
      </c>
      <c r="C291">
        <f t="array" ref="C291">LOGNORMDIST(1, 0, 1)</f>
        <v>0.5</v>
      </c>
      <c r="D291">
        <v>0.5</v>
      </c>
      <c r="E291" t="b">
        <f t="array" ref="E291">C291=D291</f>
        <v>1</v>
      </c>
    </row>
    <row r="292" spans="1:5" x14ac:dyDescent="0.2">
      <c r="A292" t="s">
        <v>636</v>
      </c>
      <c r="B292" t="s">
        <v>637</v>
      </c>
      <c r="C292">
        <f t="array" ref="C292">_xlfn.LOGNORM.INV(0.5, 0, 1)</f>
        <v>1</v>
      </c>
      <c r="D292">
        <v>1</v>
      </c>
      <c r="E292" t="b">
        <f t="array" ref="E292">C292=D292</f>
        <v>1</v>
      </c>
    </row>
    <row r="293" spans="1:5" x14ac:dyDescent="0.2">
      <c r="A293" t="s">
        <v>638</v>
      </c>
      <c r="B293" t="s">
        <v>639</v>
      </c>
      <c r="C293" t="str">
        <f t="array" ref="C293">LOOKUP(2, {1,2,3}, {"a","b","c"})</f>
        <v>b</v>
      </c>
      <c r="D293" t="s">
        <v>146</v>
      </c>
      <c r="E293" t="b">
        <f t="array" ref="E293">C293=D293</f>
        <v>1</v>
      </c>
    </row>
    <row r="294" spans="1:5" x14ac:dyDescent="0.2">
      <c r="A294" t="s">
        <v>640</v>
      </c>
      <c r="B294" t="s">
        <v>641</v>
      </c>
      <c r="C294" t="str">
        <f t="array" ref="C294">LOWER("HELLO")</f>
        <v>hello</v>
      </c>
      <c r="D294" t="s">
        <v>642</v>
      </c>
      <c r="E294" t="b">
        <f t="array" ref="E294">C294=D294</f>
        <v>1</v>
      </c>
    </row>
    <row r="295" spans="1:5" x14ac:dyDescent="0.2">
      <c r="A295" t="s">
        <v>643</v>
      </c>
      <c r="B295" t="s">
        <v>644</v>
      </c>
      <c r="D295" t="s">
        <v>645</v>
      </c>
      <c r="E295" t="b">
        <f t="array" ref="E295">C295=D295</f>
        <v>0</v>
      </c>
    </row>
    <row r="296" spans="1:5" x14ac:dyDescent="0.2">
      <c r="A296" t="s">
        <v>646</v>
      </c>
      <c r="B296" t="s">
        <v>647</v>
      </c>
      <c r="D296" t="s">
        <v>648</v>
      </c>
      <c r="E296" t="b">
        <f t="array" ref="E296">C296=D296</f>
        <v>0</v>
      </c>
    </row>
    <row r="297" spans="1:5" x14ac:dyDescent="0.2">
      <c r="A297" t="s">
        <v>649</v>
      </c>
      <c r="B297" t="s">
        <v>650</v>
      </c>
      <c r="C297">
        <f t="array" ref="C297">MATCH(2, {1,2,3}, 0)</f>
        <v>2</v>
      </c>
      <c r="D297">
        <v>2</v>
      </c>
      <c r="E297" t="b">
        <f t="array" ref="E297">C297=D297</f>
        <v>1</v>
      </c>
    </row>
    <row r="298" spans="1:5" x14ac:dyDescent="0.2">
      <c r="A298" t="s">
        <v>651</v>
      </c>
      <c r="B298" t="s">
        <v>652</v>
      </c>
      <c r="C298">
        <f t="array" ref="C298">MAX(1, 5, 3)</f>
        <v>5</v>
      </c>
      <c r="D298">
        <v>5</v>
      </c>
      <c r="E298" t="b">
        <f t="array" ref="E298">C298=D298</f>
        <v>1</v>
      </c>
    </row>
    <row r="299" spans="1:5" x14ac:dyDescent="0.2">
      <c r="A299" t="s">
        <v>653</v>
      </c>
      <c r="B299" t="s">
        <v>654</v>
      </c>
      <c r="C299">
        <f t="array" ref="C299">MAXA(1, 5, 3, TRUE)</f>
        <v>5</v>
      </c>
      <c r="D299">
        <v>5</v>
      </c>
      <c r="E299" t="b">
        <f t="array" ref="E299">C299=D299</f>
        <v>1</v>
      </c>
    </row>
    <row r="300" spans="1:5" x14ac:dyDescent="0.2">
      <c r="A300" t="s">
        <v>655</v>
      </c>
      <c r="B300" t="s">
        <v>656</v>
      </c>
      <c r="C300">
        <v>0</v>
      </c>
      <c r="D300">
        <v>2</v>
      </c>
      <c r="E300" t="b">
        <f t="array" ref="E300">C300=D300</f>
        <v>0</v>
      </c>
    </row>
    <row r="301" spans="1:5" x14ac:dyDescent="0.2">
      <c r="A301" t="s">
        <v>657</v>
      </c>
      <c r="B301" t="s">
        <v>658</v>
      </c>
      <c r="C301">
        <f t="array" ref="C301">MDETERM({1,2;3,4})</f>
        <v>-2</v>
      </c>
      <c r="D301">
        <v>-2</v>
      </c>
      <c r="E301" t="b">
        <f t="array" ref="E301">C301=D301</f>
        <v>1</v>
      </c>
    </row>
    <row r="302" spans="1:5" x14ac:dyDescent="0.2">
      <c r="A302" t="s">
        <v>659</v>
      </c>
      <c r="B302" t="s">
        <v>660</v>
      </c>
      <c r="C302">
        <f t="array" ref="C302">MDURATION("2020-01-01", "2025-01-01", 0.05, 0.04, 2)</f>
        <v>4.4106898475747371</v>
      </c>
      <c r="D302">
        <v>4.53</v>
      </c>
      <c r="E302" t="b">
        <f t="array" ref="E302">C302=D302</f>
        <v>0</v>
      </c>
    </row>
    <row r="303" spans="1:5" x14ac:dyDescent="0.2">
      <c r="A303" t="s">
        <v>661</v>
      </c>
      <c r="B303" t="s">
        <v>662</v>
      </c>
      <c r="C303">
        <f t="array" ref="C303">MEDIAN(1,2,3,4,5)</f>
        <v>3</v>
      </c>
      <c r="D303">
        <v>3</v>
      </c>
      <c r="E303" t="b">
        <f t="array" ref="E303">C303=D303</f>
        <v>1</v>
      </c>
    </row>
    <row r="304" spans="1:5" x14ac:dyDescent="0.2">
      <c r="A304" t="s">
        <v>663</v>
      </c>
      <c r="B304" t="s">
        <v>664</v>
      </c>
      <c r="C304" t="str">
        <f t="array" ref="C304">MID("Hello", 2, 3)</f>
        <v>ell</v>
      </c>
      <c r="D304" t="s">
        <v>665</v>
      </c>
      <c r="E304" t="b">
        <f t="array" ref="E304">C304=D304</f>
        <v>1</v>
      </c>
    </row>
    <row r="305" spans="1:5" x14ac:dyDescent="0.2">
      <c r="A305" t="s">
        <v>666</v>
      </c>
      <c r="B305" t="s">
        <v>667</v>
      </c>
      <c r="C305" t="str">
        <f t="array" ref="C305">MIDB("Hello", 2, 3)</f>
        <v>ell</v>
      </c>
      <c r="D305" t="s">
        <v>665</v>
      </c>
      <c r="E305" t="b">
        <f t="array" ref="E305">C305=D305</f>
        <v>1</v>
      </c>
    </row>
    <row r="306" spans="1:5" x14ac:dyDescent="0.2">
      <c r="A306" t="s">
        <v>668</v>
      </c>
      <c r="B306" t="s">
        <v>669</v>
      </c>
      <c r="C306">
        <f t="array" ref="C306">MIN(1,2,3,4,5)</f>
        <v>1</v>
      </c>
      <c r="D306">
        <v>1</v>
      </c>
      <c r="E306" t="b">
        <f t="array" ref="E306">C306=D306</f>
        <v>1</v>
      </c>
    </row>
    <row r="307" spans="1:5" x14ac:dyDescent="0.2">
      <c r="A307" t="s">
        <v>670</v>
      </c>
      <c r="B307" t="s">
        <v>671</v>
      </c>
      <c r="C307">
        <v>0</v>
      </c>
      <c r="D307">
        <v>1</v>
      </c>
      <c r="E307" t="b">
        <f t="array" ref="E307">C307=D307</f>
        <v>0</v>
      </c>
    </row>
    <row r="308" spans="1:5" x14ac:dyDescent="0.2">
      <c r="A308" t="s">
        <v>672</v>
      </c>
      <c r="B308" t="s">
        <v>673</v>
      </c>
      <c r="C308">
        <f t="array" ref="C308">MINA(1,2,3,TRUE,FALSE)</f>
        <v>0</v>
      </c>
      <c r="D308">
        <v>0</v>
      </c>
      <c r="E308" t="b">
        <f t="array" ref="E308">C308=D308</f>
        <v>1</v>
      </c>
    </row>
    <row r="309" spans="1:5" x14ac:dyDescent="0.2">
      <c r="A309" t="s">
        <v>674</v>
      </c>
      <c r="B309" t="s">
        <v>675</v>
      </c>
      <c r="C309">
        <f t="array" ref="C309">MINUTE("12:30:45")</f>
        <v>30</v>
      </c>
      <c r="D309">
        <v>30</v>
      </c>
      <c r="E309" t="b">
        <f t="array" ref="E309">C309=D309</f>
        <v>1</v>
      </c>
    </row>
    <row r="310" spans="1:5" x14ac:dyDescent="0.2">
      <c r="A310" t="s">
        <v>676</v>
      </c>
      <c r="B310" t="s">
        <v>677</v>
      </c>
      <c r="D310" t="s">
        <v>678</v>
      </c>
      <c r="E310" t="b">
        <f t="array" ref="E310">C310=D310</f>
        <v>0</v>
      </c>
    </row>
    <row r="311" spans="1:5" x14ac:dyDescent="0.2">
      <c r="A311" t="s">
        <v>679</v>
      </c>
      <c r="B311" t="s">
        <v>680</v>
      </c>
      <c r="C311">
        <f t="array" ref="C311">MIRR({-100,30,40,50}, 0.1, 0.12)</f>
        <v>9.815669244631553E-2</v>
      </c>
      <c r="D311">
        <v>0.10050000000000001</v>
      </c>
      <c r="E311" t="b">
        <f t="array" ref="E311">C311=D311</f>
        <v>0</v>
      </c>
    </row>
    <row r="312" spans="1:5" x14ac:dyDescent="0.2">
      <c r="A312" t="s">
        <v>681</v>
      </c>
      <c r="B312" t="s">
        <v>682</v>
      </c>
      <c r="D312" t="s">
        <v>683</v>
      </c>
      <c r="E312" t="b">
        <f t="array" ref="E312">C312=D312</f>
        <v>0</v>
      </c>
    </row>
    <row r="313" spans="1:5" x14ac:dyDescent="0.2">
      <c r="A313" t="s">
        <v>684</v>
      </c>
      <c r="B313" t="s">
        <v>685</v>
      </c>
      <c r="C313">
        <f t="array" ref="C313">MOD(10, 3)</f>
        <v>1</v>
      </c>
      <c r="D313">
        <v>1</v>
      </c>
      <c r="E313" t="b">
        <f t="array" ref="E313">C313=D313</f>
        <v>1</v>
      </c>
    </row>
    <row r="314" spans="1:5" x14ac:dyDescent="0.2">
      <c r="A314" t="s">
        <v>686</v>
      </c>
      <c r="B314" t="s">
        <v>687</v>
      </c>
      <c r="C314">
        <f t="array" ref="C314">MODE(1,2,2,3,3,3)</f>
        <v>3</v>
      </c>
      <c r="D314">
        <v>3</v>
      </c>
      <c r="E314" t="b">
        <f t="array" ref="E314">C314=D314</f>
        <v>1</v>
      </c>
    </row>
    <row r="315" spans="1:5" x14ac:dyDescent="0.2">
      <c r="A315" t="s">
        <v>688</v>
      </c>
      <c r="B315" t="s">
        <v>689</v>
      </c>
      <c r="D315" t="s">
        <v>690</v>
      </c>
      <c r="E315" t="b">
        <f t="array" ref="E315">C315=D315</f>
        <v>0</v>
      </c>
    </row>
    <row r="316" spans="1:5" x14ac:dyDescent="0.2">
      <c r="A316" t="s">
        <v>691</v>
      </c>
      <c r="B316" t="s">
        <v>692</v>
      </c>
      <c r="C316">
        <f t="array" ref="C316">_xlfn.MODE.SNGL(1,2,2,3,3,3)</f>
        <v>3</v>
      </c>
      <c r="D316">
        <v>3</v>
      </c>
      <c r="E316" t="b">
        <f t="array" ref="E316">C316=D316</f>
        <v>1</v>
      </c>
    </row>
    <row r="317" spans="1:5" x14ac:dyDescent="0.2">
      <c r="A317" t="s">
        <v>693</v>
      </c>
      <c r="B317" t="s">
        <v>694</v>
      </c>
      <c r="C317">
        <f t="array" ref="C317">MONTH("2020-06-15")</f>
        <v>6</v>
      </c>
      <c r="D317">
        <v>6</v>
      </c>
      <c r="E317" t="b">
        <f t="array" ref="E317">C317=D317</f>
        <v>1</v>
      </c>
    </row>
    <row r="318" spans="1:5" x14ac:dyDescent="0.2">
      <c r="A318" t="s">
        <v>695</v>
      </c>
      <c r="B318" t="s">
        <v>696</v>
      </c>
      <c r="C318">
        <f t="array" ref="C318">MROUND(10, 3)</f>
        <v>9</v>
      </c>
      <c r="D318">
        <v>9</v>
      </c>
      <c r="E318" t="b">
        <f t="array" ref="E318">C318=D318</f>
        <v>1</v>
      </c>
    </row>
    <row r="319" spans="1:5" x14ac:dyDescent="0.2">
      <c r="A319" t="s">
        <v>697</v>
      </c>
      <c r="B319" t="s">
        <v>698</v>
      </c>
      <c r="C319">
        <f t="array" ref="C319">MULTINOMIAL(2, 3, 4)</f>
        <v>1259.9999999999991</v>
      </c>
      <c r="D319">
        <v>1260</v>
      </c>
      <c r="E319" t="b">
        <f t="array" ref="E319">C319=D319</f>
        <v>1</v>
      </c>
    </row>
    <row r="320" spans="1:5" x14ac:dyDescent="0.2">
      <c r="A320" t="s">
        <v>699</v>
      </c>
      <c r="B320" t="s">
        <v>700</v>
      </c>
      <c r="D320" t="s">
        <v>701</v>
      </c>
      <c r="E320" t="b">
        <f t="array" ref="E320">C320=D320</f>
        <v>0</v>
      </c>
    </row>
    <row r="321" spans="1:5" x14ac:dyDescent="0.2">
      <c r="A321" t="s">
        <v>702</v>
      </c>
      <c r="B321" t="s">
        <v>703</v>
      </c>
      <c r="C321">
        <f t="array" ref="C321">N(TRUE)</f>
        <v>1</v>
      </c>
      <c r="D321">
        <v>1</v>
      </c>
      <c r="E321" t="b">
        <f t="array" ref="E321">C321=D321</f>
        <v>1</v>
      </c>
    </row>
    <row r="322" spans="1:5" x14ac:dyDescent="0.2">
      <c r="A322" t="s">
        <v>704</v>
      </c>
      <c r="B322" t="s">
        <v>705</v>
      </c>
      <c r="C322" t="e">
        <f t="array" ref="C322">NA()</f>
        <v>#N/A</v>
      </c>
      <c r="D322" t="s">
        <v>553</v>
      </c>
      <c r="E322" t="e">
        <f t="array" ref="E322">C322=D322</f>
        <v>#N/A</v>
      </c>
    </row>
    <row r="323" spans="1:5" x14ac:dyDescent="0.2">
      <c r="A323" t="s">
        <v>706</v>
      </c>
      <c r="B323" t="s">
        <v>707</v>
      </c>
      <c r="C323">
        <f t="array" ref="C323">_xlfn.NEGBINOM.DIST(5, 10, 0.5, FALSE)</f>
        <v>6.109619140625E-2</v>
      </c>
      <c r="D323">
        <v>6.1100000000000002E-2</v>
      </c>
      <c r="E323" t="b">
        <f t="array" ref="E323">C323=D323</f>
        <v>0</v>
      </c>
    </row>
    <row r="324" spans="1:5" x14ac:dyDescent="0.2">
      <c r="A324" t="s">
        <v>708</v>
      </c>
      <c r="B324" t="s">
        <v>709</v>
      </c>
      <c r="C324">
        <f t="array" ref="C324">NEGBINOMDIST(5, 10, 0.5)</f>
        <v>6.109619140625E-2</v>
      </c>
      <c r="D324">
        <v>6.1100000000000002E-2</v>
      </c>
      <c r="E324" t="b">
        <f t="array" ref="E324">C324=D324</f>
        <v>0</v>
      </c>
    </row>
    <row r="325" spans="1:5" x14ac:dyDescent="0.2">
      <c r="A325" t="s">
        <v>710</v>
      </c>
      <c r="B325" t="s">
        <v>711</v>
      </c>
      <c r="C325">
        <f t="array" ref="C325">NETWORKDAYS("2020-01-01", "2020-01-31")</f>
        <v>23</v>
      </c>
      <c r="D325">
        <v>23</v>
      </c>
      <c r="E325" t="b">
        <f t="array" ref="E325">C325=D325</f>
        <v>1</v>
      </c>
    </row>
    <row r="326" spans="1:5" x14ac:dyDescent="0.2">
      <c r="A326" t="s">
        <v>712</v>
      </c>
      <c r="B326" t="s">
        <v>713</v>
      </c>
      <c r="C326">
        <f t="array" ref="C326">NETWORKDAYS.INTL("2020-01-01", "2020-01-31", 1)</f>
        <v>23</v>
      </c>
      <c r="D326">
        <v>23</v>
      </c>
      <c r="E326" t="b">
        <f t="array" ref="E326">C326=D326</f>
        <v>1</v>
      </c>
    </row>
    <row r="327" spans="1:5" x14ac:dyDescent="0.2">
      <c r="A327" t="s">
        <v>714</v>
      </c>
      <c r="B327" t="s">
        <v>715</v>
      </c>
      <c r="C327">
        <f t="array" ref="C327">NOMINAL(0.05, 4)</f>
        <v>4.908893771615741E-2</v>
      </c>
      <c r="D327">
        <v>4.9099999999999998E-2</v>
      </c>
      <c r="E327" t="b">
        <f t="array" ref="E327">C327=D327</f>
        <v>0</v>
      </c>
    </row>
    <row r="328" spans="1:5" x14ac:dyDescent="0.2">
      <c r="A328" t="s">
        <v>716</v>
      </c>
      <c r="B328" t="s">
        <v>717</v>
      </c>
      <c r="C328">
        <f t="array" ref="C328">_xlfn.NORM.DIST(1, 0, 1, TRUE)</f>
        <v>0.84134474606854304</v>
      </c>
      <c r="D328">
        <v>0.84130000000000005</v>
      </c>
      <c r="E328" t="b">
        <f t="array" ref="E328">C328=D328</f>
        <v>0</v>
      </c>
    </row>
    <row r="329" spans="1:5" x14ac:dyDescent="0.2">
      <c r="A329" t="s">
        <v>718</v>
      </c>
      <c r="B329" t="s">
        <v>719</v>
      </c>
      <c r="C329">
        <f t="array" ref="C329">NORMDIST(1, 0, 1, TRUE)</f>
        <v>0.84134474606854304</v>
      </c>
      <c r="D329">
        <v>0.84130000000000005</v>
      </c>
      <c r="E329" t="b">
        <f t="array" ref="E329">C329=D329</f>
        <v>0</v>
      </c>
    </row>
    <row r="330" spans="1:5" x14ac:dyDescent="0.2">
      <c r="A330" t="s">
        <v>720</v>
      </c>
      <c r="B330" t="s">
        <v>721</v>
      </c>
      <c r="C330">
        <f t="array" ref="C330">NORMINV(0.5, 0, 1)</f>
        <v>0</v>
      </c>
      <c r="D330">
        <v>0</v>
      </c>
      <c r="E330" t="b">
        <f t="array" ref="E330">C330=D330</f>
        <v>1</v>
      </c>
    </row>
    <row r="331" spans="1:5" x14ac:dyDescent="0.2">
      <c r="A331" t="s">
        <v>722</v>
      </c>
      <c r="B331" t="s">
        <v>723</v>
      </c>
      <c r="C331">
        <f t="array" ref="C331">_xlfn.NORM.INV(0.5, 0, 1)</f>
        <v>0</v>
      </c>
      <c r="D331">
        <v>0</v>
      </c>
      <c r="E331" t="b">
        <f t="array" ref="E331">C331=D331</f>
        <v>1</v>
      </c>
    </row>
    <row r="332" spans="1:5" x14ac:dyDescent="0.2">
      <c r="A332" t="s">
        <v>724</v>
      </c>
      <c r="B332" t="s">
        <v>725</v>
      </c>
      <c r="C332">
        <f t="array" ref="C332">_xlfn.NORM.S.DIST(1, TRUE)</f>
        <v>0.84134474606854304</v>
      </c>
      <c r="D332">
        <v>0.84130000000000005</v>
      </c>
      <c r="E332" t="b">
        <f t="array" ref="E332">C332=D332</f>
        <v>0</v>
      </c>
    </row>
    <row r="333" spans="1:5" x14ac:dyDescent="0.2">
      <c r="A333" t="s">
        <v>726</v>
      </c>
      <c r="B333" t="s">
        <v>727</v>
      </c>
      <c r="C333">
        <f t="array" ref="C333">NORMSDIST(1)</f>
        <v>0.84134474606854304</v>
      </c>
      <c r="D333">
        <v>0.84130000000000005</v>
      </c>
      <c r="E333" t="b">
        <f t="array" ref="E333">C333=D333</f>
        <v>0</v>
      </c>
    </row>
    <row r="334" spans="1:5" x14ac:dyDescent="0.2">
      <c r="A334" t="s">
        <v>728</v>
      </c>
      <c r="B334" t="s">
        <v>729</v>
      </c>
      <c r="C334">
        <f t="array" ref="C334">_xlfn.NORM.S.INV(0.5)</f>
        <v>0</v>
      </c>
      <c r="D334">
        <v>0</v>
      </c>
      <c r="E334" t="b">
        <f t="array" ref="E334">C334=D334</f>
        <v>1</v>
      </c>
    </row>
    <row r="335" spans="1:5" x14ac:dyDescent="0.2">
      <c r="A335" t="s">
        <v>730</v>
      </c>
      <c r="B335" t="s">
        <v>731</v>
      </c>
      <c r="C335">
        <f t="array" ref="C335">NORMSINV(0.5)</f>
        <v>0</v>
      </c>
      <c r="D335">
        <v>0</v>
      </c>
      <c r="E335" t="b">
        <f t="array" ref="E335">C335=D335</f>
        <v>1</v>
      </c>
    </row>
    <row r="336" spans="1:5" x14ac:dyDescent="0.2">
      <c r="A336" t="s">
        <v>732</v>
      </c>
      <c r="B336" t="s">
        <v>733</v>
      </c>
      <c r="C336" t="b">
        <f t="array" ref="C336">NOT(TRUE)</f>
        <v>0</v>
      </c>
      <c r="D336" t="b">
        <v>0</v>
      </c>
      <c r="E336" t="b">
        <f t="array" ref="E336">C336=D336</f>
        <v>1</v>
      </c>
    </row>
    <row r="337" spans="1:5" x14ac:dyDescent="0.2">
      <c r="A337" t="s">
        <v>734</v>
      </c>
      <c r="B337" t="s">
        <v>735</v>
      </c>
      <c r="C337">
        <f t="array" aca="1" ref="C337" ca="1">NOW()</f>
        <v>46054.520368287034</v>
      </c>
      <c r="D337" t="s">
        <v>736</v>
      </c>
      <c r="E337" t="b">
        <f t="array" aca="1" ref="E337" ca="1">C337=D337</f>
        <v>0</v>
      </c>
    </row>
    <row r="338" spans="1:5" x14ac:dyDescent="0.2">
      <c r="A338" t="s">
        <v>737</v>
      </c>
      <c r="B338" t="s">
        <v>738</v>
      </c>
      <c r="C338">
        <f t="array" ref="C338">NPER(0.05, -100, 1000)</f>
        <v>14.206699082890461</v>
      </c>
      <c r="D338">
        <v>14.21</v>
      </c>
      <c r="E338" t="b">
        <f t="array" ref="E338">C338=D338</f>
        <v>0</v>
      </c>
    </row>
    <row r="339" spans="1:5" x14ac:dyDescent="0.2">
      <c r="A339" t="s">
        <v>739</v>
      </c>
      <c r="B339" t="s">
        <v>740</v>
      </c>
      <c r="C339">
        <f t="array" ref="C339">NPV(0.1, 100, 200, 300)</f>
        <v>481.59278737791124</v>
      </c>
      <c r="D339">
        <v>481.59</v>
      </c>
      <c r="E339" t="b">
        <f t="array" ref="E339">C339=D339</f>
        <v>0</v>
      </c>
    </row>
    <row r="340" spans="1:5" x14ac:dyDescent="0.2">
      <c r="A340" t="s">
        <v>741</v>
      </c>
      <c r="B340" t="s">
        <v>742</v>
      </c>
      <c r="C340">
        <f t="array" ref="C340">_xlfn.NUMBERVALUE("1,234.56", ".", ",")</f>
        <v>1234.56</v>
      </c>
      <c r="D340">
        <v>1234.56</v>
      </c>
      <c r="E340" t="b">
        <f t="array" ref="E340">C340=D340</f>
        <v>1</v>
      </c>
    </row>
    <row r="341" spans="1:5" x14ac:dyDescent="0.2">
      <c r="A341" t="s">
        <v>743</v>
      </c>
      <c r="B341" t="s">
        <v>744</v>
      </c>
      <c r="C341" t="str">
        <f t="array" ref="C341">OCT2BIN(7)</f>
        <v>111</v>
      </c>
      <c r="D341">
        <v>111</v>
      </c>
      <c r="E341" t="b">
        <f t="array" ref="E341">C341=D341</f>
        <v>0</v>
      </c>
    </row>
    <row r="342" spans="1:5" x14ac:dyDescent="0.2">
      <c r="A342" t="s">
        <v>745</v>
      </c>
      <c r="B342" t="s">
        <v>746</v>
      </c>
      <c r="C342">
        <f t="array" ref="C342">OCT2DEC(17)</f>
        <v>15</v>
      </c>
      <c r="D342">
        <v>15</v>
      </c>
      <c r="E342" t="b">
        <f t="array" ref="E342">C342=D342</f>
        <v>1</v>
      </c>
    </row>
    <row r="343" spans="1:5" x14ac:dyDescent="0.2">
      <c r="A343" t="s">
        <v>747</v>
      </c>
      <c r="B343" t="s">
        <v>748</v>
      </c>
      <c r="C343" t="str">
        <f t="array" ref="C343">OCT2HEX(17)</f>
        <v>F</v>
      </c>
      <c r="D343" t="s">
        <v>749</v>
      </c>
      <c r="E343" t="b">
        <f t="array" ref="E343">C343=D343</f>
        <v>1</v>
      </c>
    </row>
    <row r="344" spans="1:5" x14ac:dyDescent="0.2">
      <c r="A344" t="s">
        <v>750</v>
      </c>
      <c r="B344" t="s">
        <v>751</v>
      </c>
      <c r="C344">
        <f t="array" ref="C344">ODD(2)</f>
        <v>3</v>
      </c>
      <c r="D344">
        <v>3</v>
      </c>
      <c r="E344" t="b">
        <f t="array" ref="E344">C344=D344</f>
        <v>1</v>
      </c>
    </row>
    <row r="345" spans="1:5" x14ac:dyDescent="0.2">
      <c r="A345" t="s">
        <v>752</v>
      </c>
      <c r="B345" t="s">
        <v>753</v>
      </c>
      <c r="C345" t="e">
        <f t="array" ref="C345">ODDFPRICE("2020-01-01", "2025-01-01", "2019-06-01", "2020-06-01", 0.05, 0.04, 100, 2)</f>
        <v>#NUM!</v>
      </c>
      <c r="D345">
        <v>104.34</v>
      </c>
      <c r="E345" t="e">
        <f t="array" ref="E345">C345=D345</f>
        <v>#NUM!</v>
      </c>
    </row>
    <row r="346" spans="1:5" x14ac:dyDescent="0.2">
      <c r="A346" t="s">
        <v>754</v>
      </c>
      <c r="B346" t="s">
        <v>755</v>
      </c>
      <c r="C346" t="e">
        <f t="array" ref="C346">ODDFYIELD("2020-01-01", "2025-01-01", "2019-06-01", "2020-06-01", 0.05, 100, 100, 2)</f>
        <v>#NUM!</v>
      </c>
      <c r="D346">
        <v>0.05</v>
      </c>
      <c r="E346" t="e">
        <f t="array" ref="E346">C346=D346</f>
        <v>#NUM!</v>
      </c>
    </row>
    <row r="347" spans="1:5" x14ac:dyDescent="0.2">
      <c r="A347" t="s">
        <v>756</v>
      </c>
      <c r="B347" t="s">
        <v>757</v>
      </c>
      <c r="C347">
        <f t="array" ref="C347">ODDLPRICE("2020-01-01", "2020-12-31", "2019-06-01", 0.05, 0.04, 100, 2)</f>
        <v>100.83600427350426</v>
      </c>
      <c r="D347">
        <v>100.96</v>
      </c>
      <c r="E347" t="b">
        <f t="array" ref="E347">C347=D347</f>
        <v>0</v>
      </c>
    </row>
    <row r="348" spans="1:5" x14ac:dyDescent="0.2">
      <c r="A348" t="s">
        <v>758</v>
      </c>
      <c r="B348" t="s">
        <v>759</v>
      </c>
      <c r="C348">
        <f t="array" ref="C348">ODDLYIELD("2020-01-01", "2020-12-31", "2019-06-01", 0.05, 100, 100, 2)</f>
        <v>4.844804318488518E-2</v>
      </c>
      <c r="D348">
        <v>0.05</v>
      </c>
      <c r="E348" t="b">
        <f t="array" ref="E348">C348=D348</f>
        <v>0</v>
      </c>
    </row>
    <row r="349" spans="1:5" x14ac:dyDescent="0.2">
      <c r="A349" t="s">
        <v>760</v>
      </c>
      <c r="B349" t="s">
        <v>761</v>
      </c>
      <c r="C349" t="str">
        <f t="array" aca="1" ref="C349" ca="1">OFFSET(A1, 1, 1)</f>
        <v>ABS(-5)</v>
      </c>
      <c r="D349" t="s">
        <v>762</v>
      </c>
      <c r="E349" t="b">
        <f t="array" aca="1" ref="E349" ca="1">C349=D349</f>
        <v>0</v>
      </c>
    </row>
    <row r="350" spans="1:5" x14ac:dyDescent="0.2">
      <c r="A350" t="s">
        <v>763</v>
      </c>
      <c r="B350" t="s">
        <v>764</v>
      </c>
      <c r="C350" t="b">
        <f t="array" ref="C350">OR(TRUE, FALSE)</f>
        <v>1</v>
      </c>
      <c r="D350" t="b">
        <v>1</v>
      </c>
      <c r="E350" t="b">
        <f t="array" ref="E350">C350=D350</f>
        <v>1</v>
      </c>
    </row>
    <row r="351" spans="1:5" x14ac:dyDescent="0.2">
      <c r="A351" t="s">
        <v>765</v>
      </c>
      <c r="B351" t="s">
        <v>766</v>
      </c>
      <c r="C351">
        <f t="array" ref="C351">_xlfn.PDURATION(0.05, 1000, 2000)</f>
        <v>14.206699082890463</v>
      </c>
      <c r="D351">
        <v>14.21</v>
      </c>
      <c r="E351" t="b">
        <f t="array" ref="E351">C351=D351</f>
        <v>0</v>
      </c>
    </row>
    <row r="352" spans="1:5" x14ac:dyDescent="0.2">
      <c r="A352" t="s">
        <v>767</v>
      </c>
      <c r="B352" t="s">
        <v>768</v>
      </c>
      <c r="C352">
        <f t="array" ref="C352">PEARSON({1,2,3}, {4,5,6})</f>
        <v>1</v>
      </c>
      <c r="D352">
        <v>1</v>
      </c>
      <c r="E352" t="b">
        <f t="array" ref="E352">C352=D352</f>
        <v>1</v>
      </c>
    </row>
    <row r="353" spans="1:5" x14ac:dyDescent="0.2">
      <c r="A353" t="s">
        <v>769</v>
      </c>
      <c r="B353" t="s">
        <v>770</v>
      </c>
      <c r="C353">
        <f t="array" ref="C353">_xlfn.PERCENTILE.EXC({1,2,3,4,5}, 0.5)</f>
        <v>3</v>
      </c>
      <c r="D353">
        <v>3</v>
      </c>
      <c r="E353" t="b">
        <f t="array" ref="E353">C353=D353</f>
        <v>1</v>
      </c>
    </row>
    <row r="354" spans="1:5" x14ac:dyDescent="0.2">
      <c r="A354" t="s">
        <v>771</v>
      </c>
      <c r="B354" t="s">
        <v>772</v>
      </c>
      <c r="C354">
        <f t="array" ref="C354">_xlfn.PERCENTILE.INC({1,2,3,4,5}, 0.5)</f>
        <v>3</v>
      </c>
      <c r="D354">
        <v>3</v>
      </c>
      <c r="E354" t="b">
        <f t="array" ref="E354">C354=D354</f>
        <v>1</v>
      </c>
    </row>
    <row r="355" spans="1:5" x14ac:dyDescent="0.2">
      <c r="A355" t="s">
        <v>773</v>
      </c>
      <c r="B355" t="s">
        <v>774</v>
      </c>
      <c r="C355">
        <f t="array" ref="C355">PERCENTILE({1,2,3,4,5}, 0.5)</f>
        <v>3</v>
      </c>
      <c r="D355">
        <v>3</v>
      </c>
      <c r="E355" t="b">
        <f t="array" ref="E355">C355=D355</f>
        <v>1</v>
      </c>
    </row>
    <row r="356" spans="1:5" x14ac:dyDescent="0.2">
      <c r="A356" t="s">
        <v>775</v>
      </c>
      <c r="B356" t="s">
        <v>776</v>
      </c>
      <c r="D356">
        <v>0.33329999999999999</v>
      </c>
      <c r="E356" t="b">
        <f t="array" ref="E356">C356=D356</f>
        <v>0</v>
      </c>
    </row>
    <row r="357" spans="1:5" x14ac:dyDescent="0.2">
      <c r="A357" t="s">
        <v>777</v>
      </c>
      <c r="B357" t="s">
        <v>778</v>
      </c>
      <c r="C357">
        <f t="array" ref="C357">_xlfn.PERCENTRANK.EXC({1,2,3,4,5}, 3)</f>
        <v>0.5</v>
      </c>
      <c r="D357">
        <v>0.5</v>
      </c>
      <c r="E357" t="b">
        <f t="array" ref="E357">C357=D357</f>
        <v>1</v>
      </c>
    </row>
    <row r="358" spans="1:5" x14ac:dyDescent="0.2">
      <c r="A358" t="s">
        <v>779</v>
      </c>
      <c r="B358" t="s">
        <v>780</v>
      </c>
      <c r="C358">
        <f t="array" ref="C358">_xlfn.PERCENTRANK.INC({1,2,3,4,5}, 3)</f>
        <v>0.5</v>
      </c>
      <c r="D358">
        <v>0.5</v>
      </c>
      <c r="E358" t="b">
        <f t="array" ref="E358">C358=D358</f>
        <v>1</v>
      </c>
    </row>
    <row r="359" spans="1:5" x14ac:dyDescent="0.2">
      <c r="A359" t="s">
        <v>781</v>
      </c>
      <c r="B359" t="s">
        <v>782</v>
      </c>
      <c r="C359">
        <f t="array" ref="C359">PERCENTRANK({1,2,3,4,5}, 3)</f>
        <v>0.5</v>
      </c>
      <c r="D359">
        <v>0.5</v>
      </c>
      <c r="E359" t="b">
        <f t="array" ref="E359">C359=D359</f>
        <v>1</v>
      </c>
    </row>
    <row r="360" spans="1:5" x14ac:dyDescent="0.2">
      <c r="A360" t="s">
        <v>783</v>
      </c>
      <c r="B360" t="s">
        <v>784</v>
      </c>
      <c r="C360">
        <f t="array" ref="C360">PERMUT(5, 3)</f>
        <v>60</v>
      </c>
      <c r="D360">
        <v>60</v>
      </c>
      <c r="E360" t="b">
        <f t="array" ref="E360">C360=D360</f>
        <v>1</v>
      </c>
    </row>
    <row r="361" spans="1:5" x14ac:dyDescent="0.2">
      <c r="A361" t="s">
        <v>785</v>
      </c>
      <c r="B361" t="s">
        <v>786</v>
      </c>
      <c r="C361">
        <f t="array" ref="C361">_xlfn.PERMUTATIONA(5, 3)</f>
        <v>125</v>
      </c>
      <c r="D361">
        <v>125</v>
      </c>
      <c r="E361" t="b">
        <f t="array" ref="E361">C361=D361</f>
        <v>1</v>
      </c>
    </row>
    <row r="362" spans="1:5" x14ac:dyDescent="0.2">
      <c r="A362" t="s">
        <v>787</v>
      </c>
      <c r="B362" t="s">
        <v>788</v>
      </c>
      <c r="C362">
        <f t="array" ref="C362">_xlfn.PHI(1)</f>
        <v>0.24197072451914337</v>
      </c>
      <c r="D362">
        <v>0.24199999999999999</v>
      </c>
      <c r="E362" t="b">
        <f t="array" ref="E362">C362=D362</f>
        <v>0</v>
      </c>
    </row>
    <row r="363" spans="1:5" x14ac:dyDescent="0.2">
      <c r="A363" t="s">
        <v>789</v>
      </c>
      <c r="B363" t="s">
        <v>790</v>
      </c>
      <c r="C363">
        <v>0</v>
      </c>
      <c r="D363" t="s">
        <v>791</v>
      </c>
      <c r="E363" t="b">
        <f t="array" ref="E363">C363=D363</f>
        <v>0</v>
      </c>
    </row>
    <row r="364" spans="1:5" x14ac:dyDescent="0.2">
      <c r="A364" t="s">
        <v>792</v>
      </c>
      <c r="B364" t="s">
        <v>793</v>
      </c>
      <c r="C364">
        <f t="array" ref="C364">PI()</f>
        <v>3.1415926535897931</v>
      </c>
      <c r="D364">
        <v>3.1415999999999999</v>
      </c>
      <c r="E364" t="b">
        <f t="array" ref="E364">C364=D364</f>
        <v>0</v>
      </c>
    </row>
    <row r="365" spans="1:5" x14ac:dyDescent="0.2">
      <c r="A365" t="s">
        <v>794</v>
      </c>
      <c r="B365" t="s">
        <v>795</v>
      </c>
      <c r="C365" t="e">
        <f t="array" aca="1" ref="C365" ca="1">_xludf.PIVOTBY({1,2,1,2}, {"A","A","B","B"}, {10,20,30,40}, SUM)</f>
        <v>#NAME?</v>
      </c>
      <c r="D365" t="s">
        <v>796</v>
      </c>
      <c r="E365" t="e">
        <f t="array" aca="1" ref="E365" ca="1">C365=D365</f>
        <v>#NAME?</v>
      </c>
    </row>
    <row r="366" spans="1:5" x14ac:dyDescent="0.2">
      <c r="A366" t="s">
        <v>797</v>
      </c>
      <c r="B366" t="s">
        <v>798</v>
      </c>
      <c r="C366">
        <f t="array" ref="C366">PMT(0.05/12, 60, 10000)</f>
        <v>-188.71233644010937</v>
      </c>
      <c r="D366">
        <v>-188.71</v>
      </c>
      <c r="E366" t="b">
        <f t="array" ref="E366">C366=D366</f>
        <v>0</v>
      </c>
    </row>
    <row r="367" spans="1:5" x14ac:dyDescent="0.2">
      <c r="A367" t="s">
        <v>799</v>
      </c>
      <c r="B367" t="s">
        <v>800</v>
      </c>
      <c r="C367">
        <f t="array" ref="C367">_xlfn.POISSON.DIST(2, 5, FALSE)</f>
        <v>8.4224337488568335E-2</v>
      </c>
      <c r="D367">
        <v>8.4199999999999997E-2</v>
      </c>
      <c r="E367" t="b">
        <f t="array" ref="E367">C367=D367</f>
        <v>0</v>
      </c>
    </row>
    <row r="368" spans="1:5" x14ac:dyDescent="0.2">
      <c r="A368" t="s">
        <v>801</v>
      </c>
      <c r="B368" t="s">
        <v>802</v>
      </c>
      <c r="C368">
        <f t="array" ref="C368">POISSON(2, 5, FALSE)</f>
        <v>8.4224337488568335E-2</v>
      </c>
      <c r="D368">
        <v>8.4199999999999997E-2</v>
      </c>
      <c r="E368" t="b">
        <f t="array" ref="E368">C368=D368</f>
        <v>0</v>
      </c>
    </row>
    <row r="369" spans="1:5" x14ac:dyDescent="0.2">
      <c r="A369" t="s">
        <v>803</v>
      </c>
      <c r="B369" t="s">
        <v>804</v>
      </c>
      <c r="C369">
        <f t="array" ref="C369">POWER(2, 3)</f>
        <v>8</v>
      </c>
      <c r="D369">
        <v>8</v>
      </c>
      <c r="E369" t="b">
        <f t="array" ref="E369">C369=D369</f>
        <v>1</v>
      </c>
    </row>
    <row r="370" spans="1:5" x14ac:dyDescent="0.2">
      <c r="A370" t="s">
        <v>805</v>
      </c>
      <c r="B370" t="s">
        <v>806</v>
      </c>
      <c r="C370">
        <f t="array" ref="C370">PPMT(0.05/12, 1, 60, 10000)</f>
        <v>-147.04566977344268</v>
      </c>
      <c r="D370">
        <v>-147.05000000000001</v>
      </c>
      <c r="E370" t="b">
        <f t="array" ref="E370">C370=D370</f>
        <v>0</v>
      </c>
    </row>
    <row r="371" spans="1:5" x14ac:dyDescent="0.2">
      <c r="A371" t="s">
        <v>807</v>
      </c>
      <c r="B371" t="s">
        <v>808</v>
      </c>
      <c r="C371">
        <f t="array" ref="C371">PRICE("2020-01-01", "2025-01-01", 0.05, 0.04, 100, 2)</f>
        <v>104.49129250312113</v>
      </c>
      <c r="D371">
        <v>104.49</v>
      </c>
      <c r="E371" t="b">
        <f t="array" ref="E371">C371=D371</f>
        <v>0</v>
      </c>
    </row>
    <row r="372" spans="1:5" x14ac:dyDescent="0.2">
      <c r="A372" t="s">
        <v>809</v>
      </c>
      <c r="B372" t="s">
        <v>810</v>
      </c>
      <c r="C372">
        <f t="array" ref="C372">PRICEDISC("2020-01-01", "2020-12-31", 0.05, 100)</f>
        <v>95</v>
      </c>
      <c r="D372">
        <v>95</v>
      </c>
      <c r="E372" t="b">
        <f t="array" ref="E372">C372=D372</f>
        <v>1</v>
      </c>
    </row>
    <row r="373" spans="1:5" x14ac:dyDescent="0.2">
      <c r="A373" t="s">
        <v>811</v>
      </c>
      <c r="B373" t="s">
        <v>812</v>
      </c>
      <c r="C373">
        <f t="array" ref="C373">PRICEMAT("2020-01-01", "2020-12-31", "2019-01-01", 0.05, 0.04)</f>
        <v>100.76923076923076</v>
      </c>
      <c r="D373">
        <v>100.96</v>
      </c>
      <c r="E373" t="b">
        <f t="array" ref="E373">C373=D373</f>
        <v>0</v>
      </c>
    </row>
    <row r="374" spans="1:5" x14ac:dyDescent="0.2">
      <c r="A374" t="s">
        <v>813</v>
      </c>
      <c r="B374" t="s">
        <v>814</v>
      </c>
      <c r="C374">
        <f t="array" ref="C374">PROB({1,2,3}, {0.2,0.3,0.5}, 2)</f>
        <v>0.3</v>
      </c>
      <c r="D374">
        <v>0.3</v>
      </c>
      <c r="E374" t="b">
        <f t="array" ref="E374">C374=D374</f>
        <v>1</v>
      </c>
    </row>
    <row r="375" spans="1:5" x14ac:dyDescent="0.2">
      <c r="A375" t="s">
        <v>815</v>
      </c>
      <c r="B375" t="s">
        <v>816</v>
      </c>
      <c r="C375">
        <f t="array" ref="C375">PRODUCT(1,2,3,4,5)</f>
        <v>120</v>
      </c>
      <c r="D375">
        <v>120</v>
      </c>
      <c r="E375" t="b">
        <f t="array" ref="E375">C375=D375</f>
        <v>1</v>
      </c>
    </row>
    <row r="376" spans="1:5" x14ac:dyDescent="0.2">
      <c r="A376" t="s">
        <v>817</v>
      </c>
      <c r="B376" t="s">
        <v>818</v>
      </c>
      <c r="C376" t="str">
        <f t="array" ref="C376">PROPER("hello world")</f>
        <v>Hello World</v>
      </c>
      <c r="D376" t="s">
        <v>171</v>
      </c>
      <c r="E376" t="b">
        <f t="array" ref="E376">C376=D376</f>
        <v>1</v>
      </c>
    </row>
    <row r="377" spans="1:5" x14ac:dyDescent="0.2">
      <c r="A377" t="s">
        <v>819</v>
      </c>
      <c r="B377" t="s">
        <v>820</v>
      </c>
      <c r="C377">
        <f t="array" ref="C377">PV(0.05, 10, -100)</f>
        <v>772.17349291848132</v>
      </c>
      <c r="D377">
        <v>772.17</v>
      </c>
      <c r="E377" t="b">
        <f t="array" ref="E377">C377=D377</f>
        <v>0</v>
      </c>
    </row>
    <row r="378" spans="1:5" x14ac:dyDescent="0.2">
      <c r="A378" t="s">
        <v>821</v>
      </c>
      <c r="B378" t="s">
        <v>822</v>
      </c>
      <c r="C378">
        <f t="array" ref="C378">QUARTILE({1,2,3,4,5}, 2)</f>
        <v>3</v>
      </c>
      <c r="D378">
        <v>3</v>
      </c>
      <c r="E378" t="b">
        <f t="array" ref="E378">C378=D378</f>
        <v>1</v>
      </c>
    </row>
    <row r="379" spans="1:5" x14ac:dyDescent="0.2">
      <c r="A379" t="s">
        <v>823</v>
      </c>
      <c r="B379" t="s">
        <v>824</v>
      </c>
      <c r="C379">
        <f t="array" ref="C379">_xlfn.QUARTILE.EXC({1,2,3,4,5,6,7,8}, 2)</f>
        <v>4.5</v>
      </c>
      <c r="D379">
        <v>4.5</v>
      </c>
      <c r="E379" t="b">
        <f t="array" ref="E379">C379=D379</f>
        <v>1</v>
      </c>
    </row>
    <row r="380" spans="1:5" x14ac:dyDescent="0.2">
      <c r="A380" t="s">
        <v>825</v>
      </c>
      <c r="B380" t="s">
        <v>826</v>
      </c>
      <c r="C380">
        <f t="array" ref="C380">_xlfn.QUARTILE.INC({1,2,3,4,5}, 2)</f>
        <v>3</v>
      </c>
      <c r="D380">
        <v>3</v>
      </c>
      <c r="E380" t="b">
        <f t="array" ref="E380">C380=D380</f>
        <v>1</v>
      </c>
    </row>
    <row r="381" spans="1:5" x14ac:dyDescent="0.2">
      <c r="A381" t="s">
        <v>827</v>
      </c>
      <c r="B381" t="s">
        <v>828</v>
      </c>
      <c r="C381">
        <f t="array" ref="C381">QUOTIENT(10, 3)</f>
        <v>3</v>
      </c>
      <c r="D381">
        <v>3</v>
      </c>
      <c r="E381" t="b">
        <f t="array" ref="E381">C381=D381</f>
        <v>1</v>
      </c>
    </row>
    <row r="382" spans="1:5" x14ac:dyDescent="0.2">
      <c r="A382" t="s">
        <v>829</v>
      </c>
      <c r="B382" t="s">
        <v>830</v>
      </c>
      <c r="C382">
        <f t="array" ref="C382">RADIANS(180)</f>
        <v>3.1415926535897931</v>
      </c>
      <c r="D382">
        <v>3.1415999999999999</v>
      </c>
      <c r="E382" t="b">
        <f t="array" ref="E382">C382=D382</f>
        <v>0</v>
      </c>
    </row>
    <row r="383" spans="1:5" x14ac:dyDescent="0.2">
      <c r="A383" t="s">
        <v>831</v>
      </c>
      <c r="B383" t="s">
        <v>832</v>
      </c>
      <c r="C383">
        <f t="array" aca="1" ref="C383" ca="1">RAND()</f>
        <v>0.75190606553764139</v>
      </c>
      <c r="D383" t="s">
        <v>833</v>
      </c>
      <c r="E383" t="b">
        <f t="array" aca="1" ref="E383" ca="1">C383=D383</f>
        <v>0</v>
      </c>
    </row>
    <row r="384" spans="1:5" x14ac:dyDescent="0.2">
      <c r="A384" t="s">
        <v>834</v>
      </c>
      <c r="B384" t="s">
        <v>835</v>
      </c>
      <c r="D384" t="s">
        <v>836</v>
      </c>
      <c r="E384" t="b">
        <f t="array" ref="E384">C384=D384</f>
        <v>0</v>
      </c>
    </row>
    <row r="385" spans="1:5" x14ac:dyDescent="0.2">
      <c r="A385" t="s">
        <v>837</v>
      </c>
      <c r="B385" t="s">
        <v>838</v>
      </c>
      <c r="C385">
        <f t="array" aca="1" ref="C385" ca="1">RANDBETWEEN(1, 100)</f>
        <v>90</v>
      </c>
      <c r="D385" t="s">
        <v>839</v>
      </c>
      <c r="E385" t="b">
        <f t="array" aca="1" ref="E385" ca="1">C385=D385</f>
        <v>0</v>
      </c>
    </row>
    <row r="386" spans="1:5" x14ac:dyDescent="0.2">
      <c r="A386" t="s">
        <v>840</v>
      </c>
      <c r="B386" t="s">
        <v>841</v>
      </c>
      <c r="C386">
        <v>0</v>
      </c>
      <c r="D386">
        <v>3</v>
      </c>
      <c r="E386" t="b">
        <f t="array" ref="E386">C386=D386</f>
        <v>0</v>
      </c>
    </row>
    <row r="387" spans="1:5" x14ac:dyDescent="0.2">
      <c r="A387" t="s">
        <v>842</v>
      </c>
      <c r="B387" t="s">
        <v>843</v>
      </c>
      <c r="C387">
        <v>0</v>
      </c>
      <c r="D387">
        <v>3</v>
      </c>
      <c r="E387" t="b">
        <f t="array" ref="E387">C387=D387</f>
        <v>0</v>
      </c>
    </row>
    <row r="388" spans="1:5" x14ac:dyDescent="0.2">
      <c r="A388" t="s">
        <v>844</v>
      </c>
      <c r="B388" t="s">
        <v>845</v>
      </c>
      <c r="C388">
        <v>0</v>
      </c>
      <c r="D388">
        <v>3</v>
      </c>
      <c r="E388" t="b">
        <f t="array" ref="E388">C388=D388</f>
        <v>0</v>
      </c>
    </row>
    <row r="389" spans="1:5" x14ac:dyDescent="0.2">
      <c r="A389" t="s">
        <v>846</v>
      </c>
      <c r="B389" t="s">
        <v>847</v>
      </c>
      <c r="C389">
        <f t="array" ref="C389">RATE(60, -100, 5000)</f>
        <v>6.1834131612537868E-3</v>
      </c>
      <c r="D389">
        <v>6.1999999999999998E-3</v>
      </c>
      <c r="E389" t="b">
        <f t="array" ref="E389">C389=D389</f>
        <v>0</v>
      </c>
    </row>
    <row r="390" spans="1:5" x14ac:dyDescent="0.2">
      <c r="A390" t="s">
        <v>848</v>
      </c>
      <c r="B390" t="s">
        <v>849</v>
      </c>
      <c r="C390">
        <f t="array" ref="C390">RECEIVED("2020-01-01", "2020-12-31", 1000, 0.05)</f>
        <v>1052.6315789473686</v>
      </c>
      <c r="D390">
        <v>1052.6300000000001</v>
      </c>
      <c r="E390" t="b">
        <f t="array" ref="E390">C390=D390</f>
        <v>0</v>
      </c>
    </row>
    <row r="391" spans="1:5" x14ac:dyDescent="0.2">
      <c r="A391" t="s">
        <v>850</v>
      </c>
      <c r="B391" t="s">
        <v>851</v>
      </c>
      <c r="C391" cm="1">
        <v>0</v>
      </c>
      <c r="D391">
        <v>6</v>
      </c>
      <c r="E391" t="b">
        <f t="array" ref="E391">C391=D391</f>
        <v>0</v>
      </c>
    </row>
    <row r="392" spans="1:5" x14ac:dyDescent="0.2">
      <c r="A392" t="s">
        <v>852</v>
      </c>
      <c r="B392" t="s">
        <v>853</v>
      </c>
      <c r="C392" t="e">
        <f t="array" aca="1" ref="C392" ca="1">_xludf.REGEXEXTRACT("hello123", "[0-9]+")</f>
        <v>#NAME?</v>
      </c>
      <c r="D392">
        <v>123</v>
      </c>
      <c r="E392" t="e">
        <f t="array" aca="1" ref="E392" ca="1">C392=D392</f>
        <v>#NAME?</v>
      </c>
    </row>
    <row r="393" spans="1:5" x14ac:dyDescent="0.2">
      <c r="A393" t="s">
        <v>854</v>
      </c>
      <c r="B393" t="s">
        <v>855</v>
      </c>
      <c r="C393" t="e">
        <f t="array" aca="1" ref="C393" ca="1">_xludf.REGEXREPLACE("hello123", "[0-9]+", "456")</f>
        <v>#NAME?</v>
      </c>
      <c r="D393" t="s">
        <v>856</v>
      </c>
      <c r="E393" t="e">
        <f t="array" aca="1" ref="E393" ca="1">C393=D393</f>
        <v>#NAME?</v>
      </c>
    </row>
    <row r="394" spans="1:5" x14ac:dyDescent="0.2">
      <c r="A394" t="s">
        <v>857</v>
      </c>
      <c r="B394" t="s">
        <v>858</v>
      </c>
      <c r="C394" t="e">
        <f t="array" aca="1" ref="C394" ca="1">_xludf.REGEXTEST("hello123", "[0-9]+")</f>
        <v>#NAME?</v>
      </c>
      <c r="D394" t="b">
        <v>1</v>
      </c>
      <c r="E394" t="e">
        <f t="array" aca="1" ref="E394" ca="1">C394=D394</f>
        <v>#NAME?</v>
      </c>
    </row>
    <row r="395" spans="1:5" x14ac:dyDescent="0.2">
      <c r="A395" t="s">
        <v>859</v>
      </c>
      <c r="B395" t="s">
        <v>860</v>
      </c>
      <c r="C395">
        <v>0</v>
      </c>
      <c r="D395" t="s">
        <v>117</v>
      </c>
      <c r="E395" t="b">
        <f t="array" ref="E395">C395=D395</f>
        <v>0</v>
      </c>
    </row>
    <row r="396" spans="1:5" x14ac:dyDescent="0.2">
      <c r="A396" t="s">
        <v>861</v>
      </c>
      <c r="B396" t="s">
        <v>862</v>
      </c>
      <c r="C396" t="str">
        <f t="array" ref="C396">REPLACE("Hello", 2, 3, "XYZ")</f>
        <v>HXYZo</v>
      </c>
      <c r="D396" t="s">
        <v>863</v>
      </c>
      <c r="E396" t="b">
        <f t="array" ref="E396">C396=D396</f>
        <v>1</v>
      </c>
    </row>
    <row r="397" spans="1:5" x14ac:dyDescent="0.2">
      <c r="A397" t="s">
        <v>864</v>
      </c>
      <c r="B397" t="s">
        <v>865</v>
      </c>
      <c r="C397" t="str">
        <f t="array" ref="C397">REPLACEB("Hello", 2, 3, "XYZ")</f>
        <v>HXYZo</v>
      </c>
      <c r="D397" t="s">
        <v>863</v>
      </c>
      <c r="E397" t="b">
        <f t="array" ref="E397">C397=D397</f>
        <v>1</v>
      </c>
    </row>
    <row r="398" spans="1:5" x14ac:dyDescent="0.2">
      <c r="A398" t="s">
        <v>866</v>
      </c>
      <c r="B398" t="s">
        <v>867</v>
      </c>
      <c r="C398" t="str">
        <f t="array" ref="C398">REPT("ab", 3)</f>
        <v>ababab</v>
      </c>
      <c r="D398" t="s">
        <v>868</v>
      </c>
      <c r="E398" t="b">
        <f t="array" ref="E398">C398=D398</f>
        <v>1</v>
      </c>
    </row>
    <row r="399" spans="1:5" x14ac:dyDescent="0.2">
      <c r="A399" t="s">
        <v>869</v>
      </c>
      <c r="B399" t="s">
        <v>870</v>
      </c>
      <c r="C399" t="str">
        <f t="array" ref="C399">RIGHT("Hello", 2)</f>
        <v>lo</v>
      </c>
      <c r="D399" t="s">
        <v>871</v>
      </c>
      <c r="E399" t="b">
        <f t="array" ref="E399">C399=D399</f>
        <v>1</v>
      </c>
    </row>
    <row r="400" spans="1:5" x14ac:dyDescent="0.2">
      <c r="A400" t="s">
        <v>872</v>
      </c>
      <c r="B400" t="s">
        <v>873</v>
      </c>
      <c r="C400" t="str">
        <f t="array" ref="C400">RIGHTB("Hello", 2)</f>
        <v>lo</v>
      </c>
      <c r="D400" t="s">
        <v>871</v>
      </c>
      <c r="E400" t="b">
        <f t="array" ref="E400">C400=D400</f>
        <v>1</v>
      </c>
    </row>
    <row r="401" spans="1:5" x14ac:dyDescent="0.2">
      <c r="A401" t="s">
        <v>874</v>
      </c>
      <c r="B401" t="s">
        <v>875</v>
      </c>
      <c r="C401" t="str">
        <f t="array" ref="C401">ROMAN(5)</f>
        <v>V</v>
      </c>
      <c r="D401" t="s">
        <v>876</v>
      </c>
      <c r="E401" t="b">
        <f t="array" ref="E401">C401=D401</f>
        <v>1</v>
      </c>
    </row>
    <row r="402" spans="1:5" x14ac:dyDescent="0.2">
      <c r="A402" t="s">
        <v>877</v>
      </c>
      <c r="B402" t="s">
        <v>878</v>
      </c>
      <c r="C402">
        <f t="array" ref="C402">ROUND(2.567, 2)</f>
        <v>2.57</v>
      </c>
      <c r="D402">
        <v>2.57</v>
      </c>
      <c r="E402" t="b">
        <f t="array" ref="E402">C402=D402</f>
        <v>1</v>
      </c>
    </row>
    <row r="403" spans="1:5" x14ac:dyDescent="0.2">
      <c r="A403" t="s">
        <v>879</v>
      </c>
      <c r="B403" t="s">
        <v>880</v>
      </c>
      <c r="C403">
        <f t="array" ref="C403">ROUNDDOWN(2.567, 2)</f>
        <v>2.56</v>
      </c>
      <c r="D403">
        <v>2.56</v>
      </c>
      <c r="E403" t="b">
        <f t="array" ref="E403">C403=D403</f>
        <v>1</v>
      </c>
    </row>
    <row r="404" spans="1:5" x14ac:dyDescent="0.2">
      <c r="A404" t="s">
        <v>881</v>
      </c>
      <c r="B404" t="s">
        <v>882</v>
      </c>
      <c r="C404">
        <f t="array" ref="C404">ROUNDUP(2.561, 2)</f>
        <v>2.57</v>
      </c>
      <c r="D404">
        <v>2.57</v>
      </c>
      <c r="E404" t="b">
        <f t="array" ref="E404">C404=D404</f>
        <v>1</v>
      </c>
    </row>
    <row r="405" spans="1:5" x14ac:dyDescent="0.2">
      <c r="A405" t="s">
        <v>883</v>
      </c>
      <c r="B405" t="s">
        <v>884</v>
      </c>
      <c r="C405">
        <f t="array" ref="C405">ROW(A1)</f>
        <v>1</v>
      </c>
      <c r="D405">
        <v>1</v>
      </c>
      <c r="E405" t="b">
        <f t="array" ref="E405">C405=D405</f>
        <v>1</v>
      </c>
    </row>
    <row r="406" spans="1:5" x14ac:dyDescent="0.2">
      <c r="A406" t="s">
        <v>885</v>
      </c>
      <c r="B406" t="s">
        <v>886</v>
      </c>
      <c r="C406">
        <f t="array" ref="C406">ROWS(A1:A5)</f>
        <v>5</v>
      </c>
      <c r="D406">
        <v>5</v>
      </c>
      <c r="E406" t="b">
        <f t="array" ref="E406">C406=D406</f>
        <v>1</v>
      </c>
    </row>
    <row r="407" spans="1:5" x14ac:dyDescent="0.2">
      <c r="A407" t="s">
        <v>887</v>
      </c>
      <c r="B407" t="s">
        <v>888</v>
      </c>
      <c r="C407">
        <f t="array" ref="C407">_xlfn.RRI(5, 1000, 1500)</f>
        <v>8.4471771197698553E-2</v>
      </c>
      <c r="D407">
        <v>8.4500000000000006E-2</v>
      </c>
      <c r="E407" t="b">
        <f t="array" ref="E407">C407=D407</f>
        <v>0</v>
      </c>
    </row>
    <row r="408" spans="1:5" x14ac:dyDescent="0.2">
      <c r="A408" t="s">
        <v>889</v>
      </c>
      <c r="B408" t="s">
        <v>890</v>
      </c>
      <c r="C408">
        <f t="array" ref="C408">RSQ({1,2,3}, {2,4,6})</f>
        <v>1</v>
      </c>
      <c r="D408">
        <v>1</v>
      </c>
      <c r="E408" t="b">
        <f t="array" ref="E408">C408=D408</f>
        <v>1</v>
      </c>
    </row>
    <row r="409" spans="1:5" x14ac:dyDescent="0.2">
      <c r="A409" t="s">
        <v>891</v>
      </c>
      <c r="B409" t="s">
        <v>892</v>
      </c>
      <c r="C409">
        <v>0</v>
      </c>
      <c r="D409" t="s">
        <v>117</v>
      </c>
      <c r="E409" t="b">
        <f t="array" ref="E409">C409=D409</f>
        <v>0</v>
      </c>
    </row>
    <row r="410" spans="1:5" x14ac:dyDescent="0.2">
      <c r="A410" t="s">
        <v>893</v>
      </c>
      <c r="B410" t="s">
        <v>894</v>
      </c>
      <c r="D410" t="s">
        <v>895</v>
      </c>
      <c r="E410" t="b">
        <f t="array" ref="E410">C410=D410</f>
        <v>0</v>
      </c>
    </row>
    <row r="411" spans="1:5" x14ac:dyDescent="0.2">
      <c r="A411" t="s">
        <v>896</v>
      </c>
      <c r="B411" t="s">
        <v>897</v>
      </c>
      <c r="C411">
        <f t="array" ref="C411">SEARCH("l", "Hello")</f>
        <v>3</v>
      </c>
      <c r="D411">
        <v>3</v>
      </c>
      <c r="E411" t="b">
        <f t="array" ref="E411">C411=D411</f>
        <v>1</v>
      </c>
    </row>
    <row r="412" spans="1:5" x14ac:dyDescent="0.2">
      <c r="A412" t="s">
        <v>898</v>
      </c>
      <c r="B412" t="s">
        <v>899</v>
      </c>
      <c r="C412">
        <f t="array" ref="C412">SEARCHB("l", "Hello")</f>
        <v>3</v>
      </c>
      <c r="D412">
        <v>3</v>
      </c>
      <c r="E412" t="b">
        <f t="array" ref="E412">C412=D412</f>
        <v>1</v>
      </c>
    </row>
    <row r="413" spans="1:5" x14ac:dyDescent="0.2">
      <c r="A413" t="s">
        <v>900</v>
      </c>
      <c r="B413" t="s">
        <v>901</v>
      </c>
      <c r="C413">
        <f t="array" ref="C413">_xlfn.SEC(0)</f>
        <v>1</v>
      </c>
      <c r="D413">
        <v>1</v>
      </c>
      <c r="E413" t="b">
        <f t="array" ref="E413">C413=D413</f>
        <v>1</v>
      </c>
    </row>
    <row r="414" spans="1:5" x14ac:dyDescent="0.2">
      <c r="A414" t="s">
        <v>902</v>
      </c>
      <c r="B414" t="s">
        <v>903</v>
      </c>
      <c r="C414">
        <f t="array" ref="C414">_xlfn.SECH(0)</f>
        <v>1</v>
      </c>
      <c r="D414">
        <v>1</v>
      </c>
      <c r="E414" t="b">
        <f t="array" ref="E414">C414=D414</f>
        <v>1</v>
      </c>
    </row>
    <row r="415" spans="1:5" x14ac:dyDescent="0.2">
      <c r="A415" t="s">
        <v>904</v>
      </c>
      <c r="B415" t="s">
        <v>905</v>
      </c>
      <c r="C415">
        <f t="array" ref="C415">SECOND("12:30:45")</f>
        <v>45</v>
      </c>
      <c r="D415">
        <v>45</v>
      </c>
      <c r="E415" t="b">
        <f t="array" ref="E415">C415=D415</f>
        <v>1</v>
      </c>
    </row>
    <row r="416" spans="1:5" x14ac:dyDescent="0.2">
      <c r="A416" t="s">
        <v>906</v>
      </c>
      <c r="B416" t="s">
        <v>907</v>
      </c>
      <c r="D416" t="s">
        <v>908</v>
      </c>
      <c r="E416" t="b">
        <f t="array" ref="E416">C416=D416</f>
        <v>0</v>
      </c>
    </row>
    <row r="417" spans="1:5" x14ac:dyDescent="0.2">
      <c r="A417" t="s">
        <v>909</v>
      </c>
      <c r="B417" t="s">
        <v>910</v>
      </c>
      <c r="C417">
        <f t="array" ref="C417">SERIESSUM(2, 0, 1, {1,1,1})</f>
        <v>7</v>
      </c>
      <c r="D417">
        <v>7</v>
      </c>
      <c r="E417" t="b">
        <f t="array" ref="E417">C417=D417</f>
        <v>1</v>
      </c>
    </row>
    <row r="418" spans="1:5" x14ac:dyDescent="0.2">
      <c r="A418" t="s">
        <v>911</v>
      </c>
      <c r="B418" t="s">
        <v>912</v>
      </c>
      <c r="C418">
        <f t="array" aca="1" ref="C418" ca="1">_xlfn.SHEET()</f>
        <v>2</v>
      </c>
      <c r="D418">
        <v>1</v>
      </c>
      <c r="E418" t="b">
        <f t="array" aca="1" ref="E418" ca="1">C418=D418</f>
        <v>0</v>
      </c>
    </row>
    <row r="419" spans="1:5" x14ac:dyDescent="0.2">
      <c r="A419" t="s">
        <v>913</v>
      </c>
      <c r="B419" t="s">
        <v>914</v>
      </c>
      <c r="C419">
        <f t="array" aca="1" ref="C419" ca="1">_xlfn.SHEETS()</f>
        <v>2</v>
      </c>
      <c r="D419">
        <v>1</v>
      </c>
      <c r="E419" t="b">
        <f t="array" aca="1" ref="E419" ca="1">C419=D419</f>
        <v>0</v>
      </c>
    </row>
    <row r="420" spans="1:5" x14ac:dyDescent="0.2">
      <c r="A420" t="s">
        <v>915</v>
      </c>
      <c r="B420" t="s">
        <v>916</v>
      </c>
      <c r="C420">
        <f t="array" ref="C420">SIGN(-5)</f>
        <v>-1</v>
      </c>
      <c r="D420">
        <v>-1</v>
      </c>
      <c r="E420" t="b">
        <f t="array" ref="E420">C420=D420</f>
        <v>1</v>
      </c>
    </row>
    <row r="421" spans="1:5" x14ac:dyDescent="0.2">
      <c r="A421" t="s">
        <v>917</v>
      </c>
      <c r="B421" t="s">
        <v>918</v>
      </c>
      <c r="C421">
        <f t="array" ref="C421">SIN(0)</f>
        <v>0</v>
      </c>
      <c r="D421">
        <v>0</v>
      </c>
      <c r="E421" t="b">
        <f t="array" ref="E421">C421=D421</f>
        <v>1</v>
      </c>
    </row>
    <row r="422" spans="1:5" x14ac:dyDescent="0.2">
      <c r="A422" t="s">
        <v>919</v>
      </c>
      <c r="B422" t="s">
        <v>920</v>
      </c>
      <c r="C422">
        <f t="array" ref="C422">SINH(0)</f>
        <v>0</v>
      </c>
      <c r="D422">
        <v>0</v>
      </c>
      <c r="E422" t="b">
        <f t="array" ref="E422">C422=D422</f>
        <v>1</v>
      </c>
    </row>
    <row r="423" spans="1:5" x14ac:dyDescent="0.2">
      <c r="A423" t="s">
        <v>921</v>
      </c>
      <c r="B423" t="s">
        <v>922</v>
      </c>
      <c r="C423">
        <f t="array" ref="C423">SKEW(1,2,3,4,5)</f>
        <v>0</v>
      </c>
      <c r="D423">
        <v>0</v>
      </c>
      <c r="E423" t="b">
        <f t="array" ref="E423">C423=D423</f>
        <v>1</v>
      </c>
    </row>
    <row r="424" spans="1:5" x14ac:dyDescent="0.2">
      <c r="A424" t="s">
        <v>923</v>
      </c>
      <c r="B424" t="s">
        <v>924</v>
      </c>
      <c r="C424">
        <f t="array" ref="C424">_xlfn.SKEW.P(1,2,3,4,5)</f>
        <v>0</v>
      </c>
      <c r="D424">
        <v>0</v>
      </c>
      <c r="E424" t="b">
        <f t="array" ref="E424">C424=D424</f>
        <v>1</v>
      </c>
    </row>
    <row r="425" spans="1:5" x14ac:dyDescent="0.2">
      <c r="A425" t="s">
        <v>925</v>
      </c>
      <c r="B425" t="s">
        <v>926</v>
      </c>
      <c r="C425">
        <f t="array" ref="C425">SLN(10000, 1000, 5)</f>
        <v>1800</v>
      </c>
      <c r="D425">
        <v>1800</v>
      </c>
      <c r="E425" t="b">
        <f t="array" ref="E425">C425=D425</f>
        <v>1</v>
      </c>
    </row>
    <row r="426" spans="1:5" x14ac:dyDescent="0.2">
      <c r="A426" t="s">
        <v>927</v>
      </c>
      <c r="B426" t="s">
        <v>928</v>
      </c>
      <c r="C426">
        <f t="array" ref="C426">SLOPE({2,4,6}, {1,2,3})</f>
        <v>2</v>
      </c>
      <c r="D426">
        <v>2</v>
      </c>
      <c r="E426" t="b">
        <f t="array" ref="E426">C426=D426</f>
        <v>1</v>
      </c>
    </row>
    <row r="427" spans="1:5" x14ac:dyDescent="0.2">
      <c r="A427" t="s">
        <v>929</v>
      </c>
      <c r="B427" t="s">
        <v>930</v>
      </c>
      <c r="C427">
        <f t="array" ref="C427">SMALL({3,1,4,1,5}, 2)</f>
        <v>1</v>
      </c>
      <c r="D427">
        <v>1</v>
      </c>
      <c r="E427" t="b">
        <f t="array" ref="E427">C427=D427</f>
        <v>1</v>
      </c>
    </row>
    <row r="428" spans="1:5" x14ac:dyDescent="0.2">
      <c r="A428" t="s">
        <v>931</v>
      </c>
      <c r="B428" t="s">
        <v>932</v>
      </c>
      <c r="D428" t="s">
        <v>908</v>
      </c>
      <c r="E428" t="b">
        <f t="array" ref="E428">C428=D428</f>
        <v>0</v>
      </c>
    </row>
    <row r="429" spans="1:5" x14ac:dyDescent="0.2">
      <c r="A429" t="s">
        <v>933</v>
      </c>
      <c r="B429" t="s">
        <v>934</v>
      </c>
      <c r="D429" t="s">
        <v>935</v>
      </c>
      <c r="E429" t="b">
        <f t="array" ref="E429">C429=D429</f>
        <v>0</v>
      </c>
    </row>
    <row r="430" spans="1:5" x14ac:dyDescent="0.2">
      <c r="A430" t="s">
        <v>936</v>
      </c>
      <c r="B430" t="s">
        <v>937</v>
      </c>
      <c r="C430">
        <f t="array" ref="C430">SQRT(16)</f>
        <v>4</v>
      </c>
      <c r="D430">
        <v>4</v>
      </c>
      <c r="E430" t="b">
        <f t="array" ref="E430">C430=D430</f>
        <v>1</v>
      </c>
    </row>
    <row r="431" spans="1:5" x14ac:dyDescent="0.2">
      <c r="A431" t="s">
        <v>938</v>
      </c>
      <c r="B431" t="s">
        <v>939</v>
      </c>
      <c r="C431">
        <f t="array" ref="C431">SQRTPI(1)</f>
        <v>1.7724538509055159</v>
      </c>
      <c r="D431">
        <v>1.7725</v>
      </c>
      <c r="E431" t="b">
        <f t="array" ref="E431">C431=D431</f>
        <v>0</v>
      </c>
    </row>
    <row r="432" spans="1:5" x14ac:dyDescent="0.2">
      <c r="A432" t="s">
        <v>940</v>
      </c>
      <c r="B432" t="s">
        <v>941</v>
      </c>
      <c r="C432">
        <f t="array" ref="C432">STANDARDIZE(10, 5, 2)</f>
        <v>2.5</v>
      </c>
      <c r="D432">
        <v>2.5</v>
      </c>
      <c r="E432" t="b">
        <f t="array" ref="E432">C432=D432</f>
        <v>1</v>
      </c>
    </row>
    <row r="433" spans="1:5" x14ac:dyDescent="0.2">
      <c r="A433" t="s">
        <v>942</v>
      </c>
      <c r="B433" t="s">
        <v>943</v>
      </c>
      <c r="C433">
        <f t="array" ref="C433">STDEV(1,2,3,4,5)</f>
        <v>1.5811388300841898</v>
      </c>
      <c r="D433">
        <v>1.5810999999999999</v>
      </c>
      <c r="E433" t="b">
        <f t="array" ref="E433">C433=D433</f>
        <v>0</v>
      </c>
    </row>
    <row r="434" spans="1:5" x14ac:dyDescent="0.2">
      <c r="A434" t="s">
        <v>944</v>
      </c>
      <c r="B434" t="s">
        <v>945</v>
      </c>
      <c r="C434">
        <f t="array" ref="C434">_xlfn.STDEV.P(1,2,3,4,5)</f>
        <v>1.4142135623730951</v>
      </c>
      <c r="D434">
        <v>1.4141999999999999</v>
      </c>
      <c r="E434" t="b">
        <f t="array" ref="E434">C434=D434</f>
        <v>0</v>
      </c>
    </row>
    <row r="435" spans="1:5" x14ac:dyDescent="0.2">
      <c r="A435" t="s">
        <v>946</v>
      </c>
      <c r="B435" t="s">
        <v>947</v>
      </c>
      <c r="C435">
        <f t="array" ref="C435">_xlfn.STDEV.S(1,2,3,4,5)</f>
        <v>1.5811388300841898</v>
      </c>
      <c r="D435">
        <v>1.5810999999999999</v>
      </c>
      <c r="E435" t="b">
        <f t="array" ref="E435">C435=D435</f>
        <v>0</v>
      </c>
    </row>
    <row r="436" spans="1:5" x14ac:dyDescent="0.2">
      <c r="A436" t="s">
        <v>948</v>
      </c>
      <c r="B436" t="s">
        <v>949</v>
      </c>
      <c r="C436">
        <f t="array" ref="C436">STDEVA(1,2,3,4,5)</f>
        <v>1.5811388300841898</v>
      </c>
      <c r="D436">
        <v>1.5810999999999999</v>
      </c>
      <c r="E436" t="b">
        <f t="array" ref="E436">C436=D436</f>
        <v>0</v>
      </c>
    </row>
    <row r="437" spans="1:5" x14ac:dyDescent="0.2">
      <c r="A437" t="s">
        <v>950</v>
      </c>
      <c r="B437" t="s">
        <v>951</v>
      </c>
      <c r="C437">
        <f t="array" ref="C437">STDEVP(1,2,3,4,5)</f>
        <v>1.4142135623730951</v>
      </c>
      <c r="D437">
        <v>1.4141999999999999</v>
      </c>
      <c r="E437" t="b">
        <f t="array" ref="E437">C437=D437</f>
        <v>0</v>
      </c>
    </row>
    <row r="438" spans="1:5" x14ac:dyDescent="0.2">
      <c r="A438" t="s">
        <v>952</v>
      </c>
      <c r="B438" t="s">
        <v>953</v>
      </c>
      <c r="C438">
        <f t="array" ref="C438">STDEVPA(1,2,3,4,5)</f>
        <v>1.4142135623730951</v>
      </c>
      <c r="D438">
        <v>1.4141999999999999</v>
      </c>
      <c r="E438" t="b">
        <f t="array" ref="E438">C438=D438</f>
        <v>0</v>
      </c>
    </row>
    <row r="439" spans="1:5" x14ac:dyDescent="0.2">
      <c r="A439" t="s">
        <v>954</v>
      </c>
      <c r="B439" t="s">
        <v>955</v>
      </c>
      <c r="C439">
        <f t="array" ref="C439">STEYX({2,4,6}, {1,2,3})</f>
        <v>0</v>
      </c>
      <c r="D439">
        <v>0</v>
      </c>
      <c r="E439" t="b">
        <f t="array" ref="E439">C439=D439</f>
        <v>1</v>
      </c>
    </row>
    <row r="440" spans="1:5" x14ac:dyDescent="0.2">
      <c r="A440" t="s">
        <v>956</v>
      </c>
      <c r="B440" t="s">
        <v>957</v>
      </c>
      <c r="C440" t="e">
        <f t="array" aca="1" ref="C440" ca="1">_xludf.STOCKHISTORY()</f>
        <v>#NAME?</v>
      </c>
      <c r="D440" t="s">
        <v>117</v>
      </c>
      <c r="E440" t="e">
        <f t="array" aca="1" ref="E440" ca="1">C440=D440</f>
        <v>#NAME?</v>
      </c>
    </row>
    <row r="441" spans="1:5" x14ac:dyDescent="0.2">
      <c r="A441" t="s">
        <v>958</v>
      </c>
      <c r="B441" t="s">
        <v>959</v>
      </c>
      <c r="C441" t="str">
        <f t="array" ref="C441">SUBSTITUTE("Hello", "l", "x")</f>
        <v>Hexxo</v>
      </c>
      <c r="D441" t="s">
        <v>960</v>
      </c>
      <c r="E441" t="b">
        <f t="array" ref="E441">C441=D441</f>
        <v>1</v>
      </c>
    </row>
    <row r="442" spans="1:5" x14ac:dyDescent="0.2">
      <c r="A442" t="s">
        <v>961</v>
      </c>
      <c r="B442" t="s">
        <v>962</v>
      </c>
      <c r="C442">
        <v>0</v>
      </c>
      <c r="D442">
        <v>15</v>
      </c>
      <c r="E442" t="b">
        <f t="array" ref="E442">C442=D442</f>
        <v>0</v>
      </c>
    </row>
    <row r="443" spans="1:5" x14ac:dyDescent="0.2">
      <c r="A443" t="s">
        <v>963</v>
      </c>
      <c r="B443" t="s">
        <v>964</v>
      </c>
      <c r="C443">
        <f t="array" ref="C443">SUM(1,2,3,4,5)</f>
        <v>15</v>
      </c>
      <c r="D443">
        <v>15</v>
      </c>
      <c r="E443" t="b">
        <f t="array" ref="E443">C443=D443</f>
        <v>1</v>
      </c>
    </row>
    <row r="444" spans="1:5" x14ac:dyDescent="0.2">
      <c r="A444" t="s">
        <v>965</v>
      </c>
      <c r="B444" t="s">
        <v>966</v>
      </c>
      <c r="C444">
        <v>0</v>
      </c>
      <c r="D444">
        <v>12</v>
      </c>
      <c r="E444" t="b">
        <f t="array" ref="E444">C444=D444</f>
        <v>0</v>
      </c>
    </row>
    <row r="445" spans="1:5" x14ac:dyDescent="0.2">
      <c r="A445" t="s">
        <v>967</v>
      </c>
      <c r="B445" t="s">
        <v>968</v>
      </c>
      <c r="C445">
        <v>0</v>
      </c>
      <c r="D445">
        <v>12</v>
      </c>
      <c r="E445" t="b">
        <f t="array" ref="E445">C445=D445</f>
        <v>0</v>
      </c>
    </row>
    <row r="446" spans="1:5" x14ac:dyDescent="0.2">
      <c r="A446" t="s">
        <v>969</v>
      </c>
      <c r="B446" t="s">
        <v>970</v>
      </c>
      <c r="C446">
        <f t="array" ref="C446">SUMPRODUCT({1,2,3}, {4,5,6})</f>
        <v>32</v>
      </c>
      <c r="D446">
        <v>32</v>
      </c>
      <c r="E446" t="b">
        <f t="array" ref="E446">C446=D446</f>
        <v>1</v>
      </c>
    </row>
    <row r="447" spans="1:5" x14ac:dyDescent="0.2">
      <c r="A447" t="s">
        <v>971</v>
      </c>
      <c r="B447" t="s">
        <v>972</v>
      </c>
      <c r="C447">
        <f t="array" ref="C447">SUMSQ(1,2,3)</f>
        <v>14</v>
      </c>
      <c r="D447">
        <v>14</v>
      </c>
      <c r="E447" t="b">
        <f t="array" ref="E447">C447=D447</f>
        <v>1</v>
      </c>
    </row>
    <row r="448" spans="1:5" x14ac:dyDescent="0.2">
      <c r="A448" t="s">
        <v>973</v>
      </c>
      <c r="B448" t="s">
        <v>974</v>
      </c>
      <c r="C448">
        <f t="array" ref="C448">SUMX2MY2({1,2,3}, {4,5,6})</f>
        <v>-63</v>
      </c>
      <c r="D448">
        <v>-63</v>
      </c>
      <c r="E448" t="b">
        <f t="array" ref="E448">C448=D448</f>
        <v>1</v>
      </c>
    </row>
    <row r="449" spans="1:5" x14ac:dyDescent="0.2">
      <c r="A449" t="s">
        <v>975</v>
      </c>
      <c r="B449" t="s">
        <v>976</v>
      </c>
      <c r="C449">
        <f t="array" ref="C449">SUMX2PY2({1,2,3}, {4,5,6})</f>
        <v>91</v>
      </c>
      <c r="D449">
        <v>91</v>
      </c>
      <c r="E449" t="b">
        <f t="array" ref="E449">C449=D449</f>
        <v>1</v>
      </c>
    </row>
    <row r="450" spans="1:5" x14ac:dyDescent="0.2">
      <c r="A450" t="s">
        <v>977</v>
      </c>
      <c r="B450" t="s">
        <v>978</v>
      </c>
      <c r="C450">
        <f t="array" ref="C450">SUMXMY2({1,2,3}, {4,5,6})</f>
        <v>27</v>
      </c>
      <c r="D450">
        <v>27</v>
      </c>
      <c r="E450" t="b">
        <f t="array" ref="E450">C450=D450</f>
        <v>1</v>
      </c>
    </row>
    <row r="451" spans="1:5" x14ac:dyDescent="0.2">
      <c r="A451" t="s">
        <v>979</v>
      </c>
      <c r="B451" t="s">
        <v>980</v>
      </c>
      <c r="C451" t="str" cm="1">
        <f t="array" ref="C451">_xlfn.SWITCH(2, 1, "a", 2, "b", "c")</f>
        <v>b</v>
      </c>
      <c r="D451" t="s">
        <v>146</v>
      </c>
      <c r="E451" t="b">
        <f t="array" ref="E451">C451=D451</f>
        <v>1</v>
      </c>
    </row>
    <row r="452" spans="1:5" x14ac:dyDescent="0.2">
      <c r="A452" t="s">
        <v>981</v>
      </c>
      <c r="B452" t="s">
        <v>982</v>
      </c>
      <c r="C452">
        <f t="array" ref="C452">SYD(10000, 1000, 5, 1)</f>
        <v>3000</v>
      </c>
      <c r="D452">
        <v>3000</v>
      </c>
      <c r="E452" t="b">
        <f t="array" ref="E452">C452=D452</f>
        <v>1</v>
      </c>
    </row>
    <row r="453" spans="1:5" x14ac:dyDescent="0.2">
      <c r="A453" t="s">
        <v>983</v>
      </c>
      <c r="B453" t="s">
        <v>984</v>
      </c>
      <c r="C453" t="str">
        <f t="array" ref="C453">T("Hello")</f>
        <v>Hello</v>
      </c>
      <c r="D453" t="s">
        <v>985</v>
      </c>
      <c r="E453" t="b">
        <f t="array" ref="E453">C453=D453</f>
        <v>1</v>
      </c>
    </row>
    <row r="454" spans="1:5" x14ac:dyDescent="0.2">
      <c r="A454" t="s">
        <v>986</v>
      </c>
      <c r="B454" t="s">
        <v>987</v>
      </c>
      <c r="C454">
        <f t="array" ref="C454">TAN(0)</f>
        <v>0</v>
      </c>
      <c r="D454">
        <v>0</v>
      </c>
      <c r="E454" t="b">
        <f t="array" ref="E454">C454=D454</f>
        <v>1</v>
      </c>
    </row>
    <row r="455" spans="1:5" x14ac:dyDescent="0.2">
      <c r="A455" t="s">
        <v>988</v>
      </c>
      <c r="B455" t="s">
        <v>989</v>
      </c>
      <c r="C455">
        <f t="array" ref="C455">TANH(0)</f>
        <v>0</v>
      </c>
      <c r="D455">
        <v>0</v>
      </c>
      <c r="E455" t="b">
        <f t="array" ref="E455">C455=D455</f>
        <v>1</v>
      </c>
    </row>
    <row r="456" spans="1:5" x14ac:dyDescent="0.2">
      <c r="A456" t="s">
        <v>990</v>
      </c>
      <c r="B456" t="s">
        <v>991</v>
      </c>
      <c r="D456" t="s">
        <v>992</v>
      </c>
      <c r="E456" t="b">
        <f t="array" ref="E456">C456=D456</f>
        <v>0</v>
      </c>
    </row>
    <row r="457" spans="1:5" x14ac:dyDescent="0.2">
      <c r="A457" t="s">
        <v>993</v>
      </c>
      <c r="B457" t="s">
        <v>994</v>
      </c>
      <c r="C457">
        <f t="array" ref="C457">TBILLEQ("2020-01-01", "2020-06-01", 0.05)</f>
        <v>5.1787741203178209E-2</v>
      </c>
      <c r="D457">
        <v>5.0999999999999997E-2</v>
      </c>
      <c r="E457" t="b">
        <f t="array" ref="E457">C457=D457</f>
        <v>0</v>
      </c>
    </row>
    <row r="458" spans="1:5" x14ac:dyDescent="0.2">
      <c r="A458" t="s">
        <v>995</v>
      </c>
      <c r="B458" t="s">
        <v>996</v>
      </c>
      <c r="C458">
        <f t="array" ref="C458">TBILLPRICE("2020-01-01", "2020-06-01", 0.05)</f>
        <v>97.888888888888886</v>
      </c>
      <c r="D458">
        <v>97.92</v>
      </c>
      <c r="E458" t="b">
        <f t="array" ref="E458">C458=D458</f>
        <v>0</v>
      </c>
    </row>
    <row r="459" spans="1:5" x14ac:dyDescent="0.2">
      <c r="A459" t="s">
        <v>997</v>
      </c>
      <c r="B459" t="s">
        <v>998</v>
      </c>
      <c r="C459">
        <f t="array" ref="C459">TBILLYIELD("2020-01-01", "2020-06-01", 97.92)</f>
        <v>5.0309597523219771E-2</v>
      </c>
      <c r="D459">
        <v>5.0999999999999997E-2</v>
      </c>
      <c r="E459" t="b">
        <f t="array" ref="E459">C459=D459</f>
        <v>0</v>
      </c>
    </row>
    <row r="460" spans="1:5" x14ac:dyDescent="0.2">
      <c r="A460" t="s">
        <v>999</v>
      </c>
      <c r="B460" t="s">
        <v>1000</v>
      </c>
      <c r="C460">
        <f t="array" ref="C460">_xlfn.T.DIST(1, 10, TRUE)</f>
        <v>0.82955343384897007</v>
      </c>
      <c r="D460">
        <v>0.82950000000000002</v>
      </c>
      <c r="E460" t="b">
        <f t="array" ref="E460">C460=D460</f>
        <v>0</v>
      </c>
    </row>
    <row r="461" spans="1:5" x14ac:dyDescent="0.2">
      <c r="A461" t="s">
        <v>1001</v>
      </c>
      <c r="B461" t="s">
        <v>1002</v>
      </c>
      <c r="C461">
        <f t="array" ref="C461">_xlfn.T.DIST.2T(1, 10)</f>
        <v>0.34089313230205986</v>
      </c>
      <c r="D461">
        <v>0.34089999999999998</v>
      </c>
      <c r="E461" t="b">
        <f t="array" ref="E461">C461=D461</f>
        <v>0</v>
      </c>
    </row>
    <row r="462" spans="1:5" x14ac:dyDescent="0.2">
      <c r="A462" t="s">
        <v>1003</v>
      </c>
      <c r="B462" t="s">
        <v>1004</v>
      </c>
      <c r="C462">
        <f t="array" ref="C462">_xlfn.T.DIST.RT(1, 10)</f>
        <v>0.17044656615102993</v>
      </c>
      <c r="D462">
        <v>0.17050000000000001</v>
      </c>
      <c r="E462" t="b">
        <f t="array" ref="E462">C462=D462</f>
        <v>0</v>
      </c>
    </row>
    <row r="463" spans="1:5" x14ac:dyDescent="0.2">
      <c r="A463" t="s">
        <v>1005</v>
      </c>
      <c r="B463" t="s">
        <v>1006</v>
      </c>
      <c r="C463">
        <f t="array" ref="C463">TDIST(1, 10, 2)</f>
        <v>0.34089313230205986</v>
      </c>
      <c r="D463">
        <v>0.34089999999999998</v>
      </c>
      <c r="E463" t="b">
        <f t="array" ref="E463">C463=D463</f>
        <v>0</v>
      </c>
    </row>
    <row r="464" spans="1:5" x14ac:dyDescent="0.2">
      <c r="A464" t="s">
        <v>1007</v>
      </c>
      <c r="B464" t="s">
        <v>1008</v>
      </c>
      <c r="C464" t="str">
        <f t="array" ref="C464">TEXT(1234.5, "#,##0.00")</f>
        <v>1,234.50</v>
      </c>
      <c r="D464" s="8">
        <v>1234.5</v>
      </c>
      <c r="E464" t="b">
        <f t="array" ref="E464">C464=D464</f>
        <v>0</v>
      </c>
    </row>
    <row r="465" spans="1:5" x14ac:dyDescent="0.2">
      <c r="A465" t="s">
        <v>1009</v>
      </c>
      <c r="B465" t="s">
        <v>1010</v>
      </c>
      <c r="C465" t="str">
        <f t="array" ref="C465">_xlfn.TEXTAFTER("Hello World", " ")</f>
        <v>World</v>
      </c>
      <c r="D465" t="s">
        <v>1011</v>
      </c>
      <c r="E465" t="b">
        <f t="array" ref="E465">C465=D465</f>
        <v>1</v>
      </c>
    </row>
    <row r="466" spans="1:5" x14ac:dyDescent="0.2">
      <c r="A466" t="s">
        <v>1012</v>
      </c>
      <c r="B466" t="s">
        <v>1013</v>
      </c>
      <c r="C466" t="str">
        <f t="array" ref="C466">_xlfn.TEXTBEFORE("Hello World", " ")</f>
        <v>Hello</v>
      </c>
      <c r="D466" t="s">
        <v>985</v>
      </c>
      <c r="E466" t="b">
        <f t="array" ref="E466">C466=D466</f>
        <v>1</v>
      </c>
    </row>
    <row r="467" spans="1:5" x14ac:dyDescent="0.2">
      <c r="A467" t="s">
        <v>1014</v>
      </c>
      <c r="B467" t="s">
        <v>1015</v>
      </c>
      <c r="C467" t="str">
        <f t="array" ref="C467">_xlfn.TEXTJOIN(", ", TRUE, "a", "b", "c")</f>
        <v>a, b, c</v>
      </c>
      <c r="D467" t="s">
        <v>1016</v>
      </c>
      <c r="E467" t="b">
        <f t="array" ref="E467">C467=D467</f>
        <v>1</v>
      </c>
    </row>
    <row r="468" spans="1:5" x14ac:dyDescent="0.2">
      <c r="A468" t="s">
        <v>1017</v>
      </c>
      <c r="B468" t="s">
        <v>1018</v>
      </c>
      <c r="D468" t="s">
        <v>1019</v>
      </c>
      <c r="E468" t="b">
        <f t="array" ref="E468">C468=D468</f>
        <v>0</v>
      </c>
    </row>
    <row r="469" spans="1:5" x14ac:dyDescent="0.2">
      <c r="A469" t="s">
        <v>1020</v>
      </c>
      <c r="B469" t="s">
        <v>1021</v>
      </c>
      <c r="C469">
        <f t="array" ref="C469">TIME(12, 30, 45)</f>
        <v>0.52135416666666667</v>
      </c>
      <c r="D469">
        <v>0.52135416666666667</v>
      </c>
      <c r="E469" t="b">
        <f t="array" ref="E469">C469=D469</f>
        <v>1</v>
      </c>
    </row>
    <row r="470" spans="1:5" x14ac:dyDescent="0.2">
      <c r="A470" t="s">
        <v>1022</v>
      </c>
      <c r="B470" t="s">
        <v>1023</v>
      </c>
      <c r="C470">
        <f t="array" ref="C470">TIMEVALUE("12:30:45")</f>
        <v>0.52135416666666667</v>
      </c>
      <c r="D470">
        <v>0.52129999999999999</v>
      </c>
      <c r="E470" t="b">
        <f t="array" ref="E470">C470=D470</f>
        <v>0</v>
      </c>
    </row>
    <row r="471" spans="1:5" x14ac:dyDescent="0.2">
      <c r="A471" t="s">
        <v>1024</v>
      </c>
      <c r="B471" t="s">
        <v>1025</v>
      </c>
      <c r="C471">
        <f t="array" ref="C471">_xlfn.T.INV(0.9, 10)</f>
        <v>1.3721836411103363</v>
      </c>
      <c r="D471">
        <v>1.3722000000000001</v>
      </c>
      <c r="E471" t="b">
        <f t="array" ref="E471">C471=D471</f>
        <v>0</v>
      </c>
    </row>
    <row r="472" spans="1:5" x14ac:dyDescent="0.2">
      <c r="A472" t="s">
        <v>1026</v>
      </c>
      <c r="B472" t="s">
        <v>1027</v>
      </c>
      <c r="C472">
        <f t="array" ref="C472">_xlfn.T.INV.2T(0.1, 10)</f>
        <v>1.812461122811676</v>
      </c>
      <c r="D472">
        <v>1.8125</v>
      </c>
      <c r="E472" t="b">
        <f t="array" ref="E472">C472=D472</f>
        <v>0</v>
      </c>
    </row>
    <row r="473" spans="1:5" x14ac:dyDescent="0.2">
      <c r="A473" t="s">
        <v>1028</v>
      </c>
      <c r="B473" t="s">
        <v>1029</v>
      </c>
      <c r="C473">
        <f t="array" ref="C473">TINV(0.1, 10)</f>
        <v>1.812461122811676</v>
      </c>
      <c r="D473">
        <v>1.8125</v>
      </c>
      <c r="E473" t="b">
        <f t="array" ref="E473">C473=D473</f>
        <v>0</v>
      </c>
    </row>
    <row r="474" spans="1:5" x14ac:dyDescent="0.2">
      <c r="A474" t="s">
        <v>1030</v>
      </c>
      <c r="B474" t="s">
        <v>1031</v>
      </c>
      <c r="D474" t="s">
        <v>1032</v>
      </c>
      <c r="E474" t="b">
        <f t="array" ref="E474">C474=D474</f>
        <v>0</v>
      </c>
    </row>
    <row r="475" spans="1:5" x14ac:dyDescent="0.2">
      <c r="A475" t="s">
        <v>1033</v>
      </c>
      <c r="B475" t="s">
        <v>1034</v>
      </c>
      <c r="D475" t="s">
        <v>461</v>
      </c>
      <c r="E475" t="b">
        <f t="array" ref="E475">C475=D475</f>
        <v>0</v>
      </c>
    </row>
    <row r="476" spans="1:5" x14ac:dyDescent="0.2">
      <c r="A476" t="s">
        <v>1035</v>
      </c>
      <c r="B476" t="s">
        <v>1036</v>
      </c>
      <c r="C476">
        <f t="array" aca="1" ref="C476" ca="1">TODAY()</f>
        <v>46054</v>
      </c>
      <c r="D476" t="s">
        <v>736</v>
      </c>
      <c r="E476" t="b">
        <f t="array" aca="1" ref="E476" ca="1">C476=D476</f>
        <v>0</v>
      </c>
    </row>
    <row r="477" spans="1:5" x14ac:dyDescent="0.2">
      <c r="A477" t="s">
        <v>1037</v>
      </c>
      <c r="B477" t="s">
        <v>1038</v>
      </c>
      <c r="C477" t="e">
        <f t="array" aca="1" ref="C477" ca="1">_xludf.TRANSLATE()</f>
        <v>#NAME?</v>
      </c>
      <c r="D477" t="s">
        <v>117</v>
      </c>
      <c r="E477" t="e">
        <f t="array" aca="1" ref="E477" ca="1">C477=D477</f>
        <v>#NAME?</v>
      </c>
    </row>
    <row r="478" spans="1:5" x14ac:dyDescent="0.2">
      <c r="A478" t="s">
        <v>1039</v>
      </c>
      <c r="B478" t="s">
        <v>1040</v>
      </c>
      <c r="D478" t="s">
        <v>908</v>
      </c>
      <c r="E478" t="b">
        <f t="array" ref="E478">C478=D478</f>
        <v>0</v>
      </c>
    </row>
    <row r="479" spans="1:5" x14ac:dyDescent="0.2">
      <c r="A479" t="s">
        <v>1041</v>
      </c>
      <c r="B479" t="s">
        <v>1042</v>
      </c>
      <c r="C479">
        <f t="array" ref="C479">TREND({2,4,6}, {1,2,3}, {4})</f>
        <v>8</v>
      </c>
      <c r="D479">
        <v>8</v>
      </c>
      <c r="E479" t="b">
        <f t="array" ref="E479">C479=D479</f>
        <v>1</v>
      </c>
    </row>
    <row r="480" spans="1:5" x14ac:dyDescent="0.2">
      <c r="A480" t="s">
        <v>1043</v>
      </c>
      <c r="B480" t="s">
        <v>1044</v>
      </c>
      <c r="C480" t="str">
        <f t="array" ref="C480">TRIM("  Hello  ")</f>
        <v>Hello</v>
      </c>
      <c r="D480" t="s">
        <v>985</v>
      </c>
      <c r="E480" t="b">
        <f t="array" ref="E480">C480=D480</f>
        <v>1</v>
      </c>
    </row>
    <row r="481" spans="1:5" x14ac:dyDescent="0.2">
      <c r="A481" t="s">
        <v>1045</v>
      </c>
      <c r="B481" t="s">
        <v>1046</v>
      </c>
      <c r="C481">
        <f t="array" ref="C481">TRIMMEAN({1,2,3,4,5,6,7,8,9,10}, 0.2)</f>
        <v>5.5</v>
      </c>
      <c r="D481">
        <v>5.5</v>
      </c>
      <c r="E481" t="b">
        <f t="array" ref="E481">C481=D481</f>
        <v>1</v>
      </c>
    </row>
    <row r="482" spans="1:5" x14ac:dyDescent="0.2">
      <c r="A482" t="s">
        <v>1047</v>
      </c>
      <c r="B482" t="s">
        <v>1048</v>
      </c>
      <c r="D482" t="s">
        <v>1049</v>
      </c>
      <c r="E482" t="b">
        <f t="array" ref="E482">C482=D482</f>
        <v>0</v>
      </c>
    </row>
    <row r="483" spans="1:5" x14ac:dyDescent="0.2">
      <c r="A483" t="b">
        <v>1</v>
      </c>
      <c r="B483" t="s">
        <v>1050</v>
      </c>
      <c r="C483" t="b">
        <f t="array" ref="C483">TRUE()</f>
        <v>1</v>
      </c>
      <c r="D483" t="b">
        <v>1</v>
      </c>
      <c r="E483" t="b">
        <f t="array" ref="E483">C483=D483</f>
        <v>1</v>
      </c>
    </row>
    <row r="484" spans="1:5" x14ac:dyDescent="0.2">
      <c r="A484" t="s">
        <v>1051</v>
      </c>
      <c r="B484" t="s">
        <v>1052</v>
      </c>
      <c r="C484">
        <f t="array" ref="C484">TRUNC(8.9)</f>
        <v>8</v>
      </c>
      <c r="D484">
        <v>8</v>
      </c>
      <c r="E484" t="b">
        <f t="array" ref="E484">C484=D484</f>
        <v>1</v>
      </c>
    </row>
    <row r="485" spans="1:5" x14ac:dyDescent="0.2">
      <c r="A485" t="s">
        <v>1053</v>
      </c>
      <c r="B485" t="s">
        <v>1054</v>
      </c>
      <c r="C485" t="e">
        <f t="array" ref="C485">_xlfn.T.TEST({1,2,3}, {4,5,6}, 2, 1)</f>
        <v>#DIV/0!</v>
      </c>
      <c r="D485">
        <v>4.5999999999999999E-3</v>
      </c>
      <c r="E485" t="e">
        <f t="array" ref="E485">C485=D485</f>
        <v>#DIV/0!</v>
      </c>
    </row>
    <row r="486" spans="1:5" x14ac:dyDescent="0.2">
      <c r="A486" t="s">
        <v>1055</v>
      </c>
      <c r="B486" t="s">
        <v>1056</v>
      </c>
      <c r="C486" t="e">
        <f t="array" ref="C486">TTEST({1,2,3}, {4,5,6}, 2, 1)</f>
        <v>#DIV/0!</v>
      </c>
      <c r="D486">
        <v>4.5999999999999999E-3</v>
      </c>
      <c r="E486" t="e">
        <f t="array" ref="E486">C486=D486</f>
        <v>#DIV/0!</v>
      </c>
    </row>
    <row r="487" spans="1:5" x14ac:dyDescent="0.2">
      <c r="A487" t="s">
        <v>1057</v>
      </c>
      <c r="B487" t="s">
        <v>1058</v>
      </c>
      <c r="C487">
        <f t="array" ref="C487">TYPE("Hello")</f>
        <v>2</v>
      </c>
      <c r="D487">
        <v>2</v>
      </c>
      <c r="E487" t="b">
        <f t="array" ref="E487">C487=D487</f>
        <v>1</v>
      </c>
    </row>
    <row r="488" spans="1:5" x14ac:dyDescent="0.2">
      <c r="A488" t="s">
        <v>1059</v>
      </c>
      <c r="B488" t="s">
        <v>1060</v>
      </c>
      <c r="C488" t="str">
        <f t="array" ref="C488">_xlfn.UNICHAR(65)</f>
        <v>A</v>
      </c>
      <c r="D488" t="s">
        <v>88</v>
      </c>
      <c r="E488" t="b">
        <f t="array" ref="E488">C488=D488</f>
        <v>1</v>
      </c>
    </row>
    <row r="489" spans="1:5" x14ac:dyDescent="0.2">
      <c r="A489" t="s">
        <v>1061</v>
      </c>
      <c r="B489" t="s">
        <v>1062</v>
      </c>
      <c r="C489">
        <f t="array" ref="C489">_xlfn.UNICODE("A")</f>
        <v>65</v>
      </c>
      <c r="D489">
        <v>65</v>
      </c>
      <c r="E489" t="b">
        <f t="array" ref="E489">C489=D489</f>
        <v>1</v>
      </c>
    </row>
    <row r="490" spans="1:5" x14ac:dyDescent="0.2">
      <c r="A490" t="s">
        <v>1063</v>
      </c>
      <c r="B490" t="s">
        <v>1064</v>
      </c>
      <c r="D490" t="s">
        <v>908</v>
      </c>
      <c r="E490" t="b">
        <f t="array" ref="E490">C490=D490</f>
        <v>0</v>
      </c>
    </row>
    <row r="491" spans="1:5" x14ac:dyDescent="0.2">
      <c r="A491" t="s">
        <v>1065</v>
      </c>
      <c r="B491" t="s">
        <v>1066</v>
      </c>
      <c r="C491" t="str">
        <f t="array" ref="C491">UPPER("hello")</f>
        <v>HELLO</v>
      </c>
      <c r="D491" t="s">
        <v>1067</v>
      </c>
      <c r="E491" t="b">
        <f t="array" ref="E491">C491=D491</f>
        <v>1</v>
      </c>
    </row>
    <row r="492" spans="1:5" x14ac:dyDescent="0.2">
      <c r="A492" t="s">
        <v>1068</v>
      </c>
      <c r="B492" t="s">
        <v>1069</v>
      </c>
      <c r="C492">
        <f t="array" ref="C492">VALUE("123")</f>
        <v>123</v>
      </c>
      <c r="D492">
        <v>123</v>
      </c>
      <c r="E492" t="b">
        <f t="array" ref="E492">C492=D492</f>
        <v>1</v>
      </c>
    </row>
    <row r="493" spans="1:5" x14ac:dyDescent="0.2">
      <c r="A493" t="s">
        <v>1070</v>
      </c>
      <c r="B493" t="s">
        <v>1071</v>
      </c>
      <c r="C493" t="str">
        <f t="array" ref="C493">_xlfn.VALUETOTEXT(123)</f>
        <v>123</v>
      </c>
      <c r="D493">
        <v>123</v>
      </c>
      <c r="E493" t="b">
        <f t="array" ref="E493">C493=D493</f>
        <v>0</v>
      </c>
    </row>
    <row r="494" spans="1:5" x14ac:dyDescent="0.2">
      <c r="A494" t="s">
        <v>1072</v>
      </c>
      <c r="B494" t="s">
        <v>1073</v>
      </c>
      <c r="C494">
        <f t="array" ref="C494">VAR(1,2,3,4,5)</f>
        <v>2.5</v>
      </c>
      <c r="D494">
        <v>2.5</v>
      </c>
      <c r="E494" t="b">
        <f t="array" ref="E494">C494=D494</f>
        <v>1</v>
      </c>
    </row>
    <row r="495" spans="1:5" x14ac:dyDescent="0.2">
      <c r="A495" t="s">
        <v>1074</v>
      </c>
      <c r="B495" t="s">
        <v>1075</v>
      </c>
      <c r="C495">
        <f t="array" ref="C495">_xlfn.VAR.P(1,2,3,4,5)</f>
        <v>2</v>
      </c>
      <c r="D495">
        <v>2</v>
      </c>
      <c r="E495" t="b">
        <f t="array" ref="E495">C495=D495</f>
        <v>1</v>
      </c>
    </row>
    <row r="496" spans="1:5" x14ac:dyDescent="0.2">
      <c r="A496" t="s">
        <v>1076</v>
      </c>
      <c r="B496" t="s">
        <v>1077</v>
      </c>
      <c r="C496">
        <f t="array" ref="C496">_xlfn.VAR.S(1,2,3,4,5)</f>
        <v>2.5</v>
      </c>
      <c r="D496">
        <v>2.5</v>
      </c>
      <c r="E496" t="b">
        <f t="array" ref="E496">C496=D496</f>
        <v>1</v>
      </c>
    </row>
    <row r="497" spans="1:5" x14ac:dyDescent="0.2">
      <c r="A497" t="s">
        <v>1078</v>
      </c>
      <c r="B497" t="s">
        <v>1079</v>
      </c>
      <c r="C497">
        <f t="array" ref="C497">VARA(1,2,3,4,5)</f>
        <v>2.5</v>
      </c>
      <c r="D497">
        <v>2.5</v>
      </c>
      <c r="E497" t="b">
        <f t="array" ref="E497">C497=D497</f>
        <v>1</v>
      </c>
    </row>
    <row r="498" spans="1:5" x14ac:dyDescent="0.2">
      <c r="A498" t="s">
        <v>1080</v>
      </c>
      <c r="B498" t="s">
        <v>1081</v>
      </c>
      <c r="C498">
        <f t="array" ref="C498">VARP(1,2,3,4,5)</f>
        <v>2</v>
      </c>
      <c r="D498">
        <v>2</v>
      </c>
      <c r="E498" t="b">
        <f t="array" ref="E498">C498=D498</f>
        <v>1</v>
      </c>
    </row>
    <row r="499" spans="1:5" x14ac:dyDescent="0.2">
      <c r="A499" t="s">
        <v>1082</v>
      </c>
      <c r="B499" t="s">
        <v>1083</v>
      </c>
      <c r="C499">
        <f t="array" ref="C499">VARPA(1,2,3,4,5)</f>
        <v>2</v>
      </c>
      <c r="D499">
        <v>2</v>
      </c>
      <c r="E499" t="b">
        <f t="array" ref="E499">C499=D499</f>
        <v>1</v>
      </c>
    </row>
    <row r="500" spans="1:5" x14ac:dyDescent="0.2">
      <c r="A500" t="s">
        <v>1084</v>
      </c>
      <c r="B500" t="s">
        <v>1085</v>
      </c>
      <c r="C500">
        <f t="array" ref="C500">VDB(10000, 1000, 5, 0, 1)</f>
        <v>4000</v>
      </c>
      <c r="D500">
        <v>4000</v>
      </c>
      <c r="E500" t="b">
        <f t="array" ref="E500">C500=D500</f>
        <v>1</v>
      </c>
    </row>
    <row r="501" spans="1:5" x14ac:dyDescent="0.2">
      <c r="A501" t="s">
        <v>1086</v>
      </c>
      <c r="B501" t="s">
        <v>1087</v>
      </c>
      <c r="C501" t="str">
        <f t="array" ref="C501">VLOOKUP(2, {1,"a";2,"b";3,"c"}, 2, FALSE)</f>
        <v>b</v>
      </c>
      <c r="D501" t="s">
        <v>146</v>
      </c>
      <c r="E501" t="b">
        <f t="array" ref="E501">C501=D501</f>
        <v>1</v>
      </c>
    </row>
    <row r="502" spans="1:5" x14ac:dyDescent="0.2">
      <c r="A502" t="s">
        <v>1088</v>
      </c>
      <c r="B502" t="s">
        <v>1089</v>
      </c>
      <c r="D502" t="s">
        <v>1090</v>
      </c>
      <c r="E502" t="b">
        <f t="array" ref="E502">C502=D502</f>
        <v>0</v>
      </c>
    </row>
    <row r="503" spans="1:5" x14ac:dyDescent="0.2">
      <c r="A503" t="s">
        <v>1091</v>
      </c>
      <c r="B503" t="s">
        <v>1092</v>
      </c>
      <c r="C503" t="s">
        <v>117</v>
      </c>
      <c r="D503" t="s">
        <v>117</v>
      </c>
      <c r="E503" t="b">
        <f t="array" ref="E503">C503=D503</f>
        <v>1</v>
      </c>
    </row>
    <row r="504" spans="1:5" x14ac:dyDescent="0.2">
      <c r="A504" t="s">
        <v>1093</v>
      </c>
      <c r="B504" t="s">
        <v>1094</v>
      </c>
      <c r="C504">
        <f t="array" ref="C504">WEEKDAY("2020-01-01")</f>
        <v>4</v>
      </c>
      <c r="D504">
        <v>4</v>
      </c>
      <c r="E504" t="b">
        <f t="array" ref="E504">C504=D504</f>
        <v>1</v>
      </c>
    </row>
    <row r="505" spans="1:5" x14ac:dyDescent="0.2">
      <c r="A505" t="s">
        <v>1095</v>
      </c>
      <c r="B505" t="s">
        <v>1096</v>
      </c>
      <c r="C505">
        <f t="array" ref="C505">WEEKNUM("2020-01-15")</f>
        <v>3</v>
      </c>
      <c r="D505">
        <v>3</v>
      </c>
      <c r="E505" t="b">
        <f t="array" ref="E505">C505=D505</f>
        <v>1</v>
      </c>
    </row>
    <row r="506" spans="1:5" x14ac:dyDescent="0.2">
      <c r="A506" t="s">
        <v>1097</v>
      </c>
      <c r="B506" t="s">
        <v>1098</v>
      </c>
      <c r="C506">
        <f t="array" ref="C506">WEIBULL(1, 2, 3, TRUE)</f>
        <v>0.1051606831856302</v>
      </c>
      <c r="D506">
        <v>0.1051</v>
      </c>
      <c r="E506" t="b">
        <f t="array" ref="E506">C506=D506</f>
        <v>0</v>
      </c>
    </row>
    <row r="507" spans="1:5" x14ac:dyDescent="0.2">
      <c r="A507" t="s">
        <v>1099</v>
      </c>
      <c r="B507" t="s">
        <v>1100</v>
      </c>
      <c r="C507">
        <f t="array" ref="C507">_xlfn.WEIBULL.DIST(1, 2, 3, TRUE)</f>
        <v>0.1051606831856302</v>
      </c>
      <c r="D507">
        <v>0.1051</v>
      </c>
      <c r="E507" t="b">
        <f t="array" ref="E507">C507=D507</f>
        <v>0</v>
      </c>
    </row>
    <row r="508" spans="1:5" x14ac:dyDescent="0.2">
      <c r="A508" t="s">
        <v>1101</v>
      </c>
      <c r="B508" t="s">
        <v>1102</v>
      </c>
      <c r="C508">
        <f t="array" ref="C508">WORKDAY("2020-01-01", 5)</f>
        <v>43838</v>
      </c>
      <c r="D508" s="7">
        <v>43838</v>
      </c>
      <c r="E508" t="b">
        <f t="array" ref="E508">C508=D508</f>
        <v>1</v>
      </c>
    </row>
    <row r="509" spans="1:5" x14ac:dyDescent="0.2">
      <c r="A509" t="s">
        <v>1103</v>
      </c>
      <c r="B509" t="s">
        <v>1104</v>
      </c>
      <c r="C509">
        <f t="array" ref="C509">WORKDAY.INTL("2020-01-01", 5, 1)</f>
        <v>43838</v>
      </c>
      <c r="D509" s="7">
        <v>43838</v>
      </c>
      <c r="E509" t="b">
        <f t="array" ref="E509">C509=D509</f>
        <v>1</v>
      </c>
    </row>
    <row r="510" spans="1:5" x14ac:dyDescent="0.2">
      <c r="A510" t="s">
        <v>1105</v>
      </c>
      <c r="B510" t="s">
        <v>1106</v>
      </c>
      <c r="D510" t="s">
        <v>1107</v>
      </c>
      <c r="E510" t="b">
        <f t="array" ref="E510">C510=D510</f>
        <v>0</v>
      </c>
    </row>
    <row r="511" spans="1:5" x14ac:dyDescent="0.2">
      <c r="A511" t="s">
        <v>1108</v>
      </c>
      <c r="B511" t="s">
        <v>1109</v>
      </c>
      <c r="D511" t="s">
        <v>1110</v>
      </c>
      <c r="E511" t="b">
        <f t="array" ref="E511">C511=D511</f>
        <v>0</v>
      </c>
    </row>
    <row r="512" spans="1:5" x14ac:dyDescent="0.2">
      <c r="A512" t="s">
        <v>1111</v>
      </c>
      <c r="B512" t="s">
        <v>1112</v>
      </c>
      <c r="C512">
        <f t="array" ref="C512">XIRR({-1000,500,600}, {"2020-01-01","2020-06-01","2020-12-01"})</f>
        <v>0.14915029406547547</v>
      </c>
      <c r="D512">
        <v>0.13389999999999999</v>
      </c>
      <c r="E512" t="b">
        <f t="array" ref="E512">C512=D512</f>
        <v>0</v>
      </c>
    </row>
    <row r="513" spans="1:5" x14ac:dyDescent="0.2">
      <c r="A513" t="s">
        <v>1113</v>
      </c>
      <c r="B513" t="s">
        <v>1114</v>
      </c>
      <c r="C513" t="str" cm="1">
        <f t="array" ref="C513">_xlfn.XLOOKUP(2, {1,2,3}, {"a","b","c"})</f>
        <v>b</v>
      </c>
      <c r="D513" t="s">
        <v>146</v>
      </c>
      <c r="E513" t="b">
        <f t="array" ref="E513">C513=D513</f>
        <v>1</v>
      </c>
    </row>
    <row r="514" spans="1:5" x14ac:dyDescent="0.2">
      <c r="A514" t="s">
        <v>1115</v>
      </c>
      <c r="B514" t="s">
        <v>1116</v>
      </c>
      <c r="C514">
        <f t="array" ref="C514">_xlfn.XMATCH(2, {1,2,3})</f>
        <v>2</v>
      </c>
      <c r="D514">
        <v>2</v>
      </c>
      <c r="E514" t="b">
        <f t="array" ref="E514">C514=D514</f>
        <v>1</v>
      </c>
    </row>
    <row r="515" spans="1:5" x14ac:dyDescent="0.2">
      <c r="A515" t="s">
        <v>1117</v>
      </c>
      <c r="B515" t="s">
        <v>1118</v>
      </c>
      <c r="C515" t="e">
        <f t="array" ref="C515">XNPV(0.1, {-1000,500,600}, {"2020-01-01","2020-06-01","2020-12-01"})</f>
        <v>#VALUE!</v>
      </c>
      <c r="D515">
        <v>45.83</v>
      </c>
      <c r="E515" t="e">
        <f t="array" ref="E515">C515=D515</f>
        <v>#VALUE!</v>
      </c>
    </row>
    <row r="516" spans="1:5" x14ac:dyDescent="0.2">
      <c r="A516" t="s">
        <v>1119</v>
      </c>
      <c r="B516" t="s">
        <v>1120</v>
      </c>
      <c r="C516" t="b">
        <f t="array" ref="C516">_xlfn.XOR(TRUE, FALSE)</f>
        <v>1</v>
      </c>
      <c r="D516" t="b">
        <v>1</v>
      </c>
      <c r="E516" t="b">
        <f t="array" ref="E516">C516=D516</f>
        <v>1</v>
      </c>
    </row>
    <row r="517" spans="1:5" x14ac:dyDescent="0.2">
      <c r="A517" t="s">
        <v>1121</v>
      </c>
      <c r="B517" t="s">
        <v>1122</v>
      </c>
      <c r="C517">
        <f t="array" ref="C517">YEAR("2020-06-15")</f>
        <v>2020</v>
      </c>
      <c r="D517">
        <v>2020</v>
      </c>
      <c r="E517" t="b">
        <f t="array" ref="E517">C517=D517</f>
        <v>1</v>
      </c>
    </row>
    <row r="518" spans="1:5" x14ac:dyDescent="0.2">
      <c r="A518" t="s">
        <v>1123</v>
      </c>
      <c r="B518" t="s">
        <v>1124</v>
      </c>
      <c r="C518">
        <f t="array" ref="C518">YEARFRAC("2020-01-01", "2020-06-01")</f>
        <v>0.41666666666666669</v>
      </c>
      <c r="D518">
        <v>0.41670000000000001</v>
      </c>
      <c r="E518" t="b">
        <f t="array" ref="E518">C518=D518</f>
        <v>0</v>
      </c>
    </row>
    <row r="519" spans="1:5" x14ac:dyDescent="0.2">
      <c r="A519" t="s">
        <v>1125</v>
      </c>
      <c r="B519" t="s">
        <v>1126</v>
      </c>
      <c r="C519">
        <f t="array" ref="C519">YIELD("2020-01-01", "2030-01-01", 0.05, 95, 100, 2)</f>
        <v>5.6616890769750766E-2</v>
      </c>
      <c r="D519">
        <v>5.5800000000000002E-2</v>
      </c>
      <c r="E519" t="b">
        <f t="array" ref="E519">C519=D519</f>
        <v>0</v>
      </c>
    </row>
    <row r="520" spans="1:5" x14ac:dyDescent="0.2">
      <c r="A520" t="s">
        <v>1127</v>
      </c>
      <c r="B520" t="s">
        <v>1128</v>
      </c>
      <c r="C520">
        <f t="array" ref="C520">YIELDDISC("2020-01-01", "2020-06-01", 97, 100)</f>
        <v>7.422680412371134E-2</v>
      </c>
      <c r="D520">
        <v>7.4099999999999999E-2</v>
      </c>
      <c r="E520" t="b">
        <f t="array" ref="E520">C520=D520</f>
        <v>0</v>
      </c>
    </row>
    <row r="521" spans="1:5" x14ac:dyDescent="0.2">
      <c r="A521" t="s">
        <v>1129</v>
      </c>
      <c r="B521" t="s">
        <v>1130</v>
      </c>
      <c r="C521">
        <f t="array" ref="C521">YIELDMAT("2020-01-01", "2025-01-01", "2015-01-01", 0.05, 95)</f>
        <v>5.0000000000000017E-2</v>
      </c>
      <c r="D521">
        <v>6.1600000000000002E-2</v>
      </c>
      <c r="E521" t="b">
        <f t="array" ref="E521">C521=D521</f>
        <v>0</v>
      </c>
    </row>
    <row r="522" spans="1:5" x14ac:dyDescent="0.2">
      <c r="A522" t="s">
        <v>1131</v>
      </c>
      <c r="B522" t="s">
        <v>1132</v>
      </c>
      <c r="C522">
        <f t="array" ref="C522">_xlfn.Z.TEST({1,2,3,4,5}, 3)</f>
        <v>0.5</v>
      </c>
      <c r="D522">
        <v>0.5</v>
      </c>
      <c r="E522" t="b">
        <f t="array" ref="E522">C522=D522</f>
        <v>1</v>
      </c>
    </row>
    <row r="523" spans="1:5" x14ac:dyDescent="0.2">
      <c r="A523" t="s">
        <v>1133</v>
      </c>
      <c r="B523" t="s">
        <v>1134</v>
      </c>
      <c r="C523">
        <f t="array" ref="C523">ZTEST({1,2,3,4,5}, 3)</f>
        <v>0.5</v>
      </c>
      <c r="D523">
        <v>0.5</v>
      </c>
      <c r="E523" t="b">
        <f t="array" ref="E523">C523=D523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Figatner</cp:lastModifiedBy>
  <dcterms:created xsi:type="dcterms:W3CDTF">2025-12-18T18:14:35Z</dcterms:created>
  <dcterms:modified xsi:type="dcterms:W3CDTF">2026-02-01T20:29:55Z</dcterms:modified>
</cp:coreProperties>
</file>